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bathina\Downloads\"/>
    </mc:Choice>
  </mc:AlternateContent>
  <xr:revisionPtr revIDLastSave="0" documentId="13_ncr:1_{8AD368FA-876F-465F-8980-B38D847518BF}" xr6:coauthVersionLast="47" xr6:coauthVersionMax="47" xr10:uidLastSave="{00000000-0000-0000-0000-000000000000}"/>
  <bookViews>
    <workbookView xWindow="-108" yWindow="-108" windowWidth="23256" windowHeight="12456" xr2:uid="{00000000-000D-0000-FFFF-FFFF00000000}"/>
  </bookViews>
  <sheets>
    <sheet name="CP Front Page" sheetId="1" r:id="rId1"/>
    <sheet name="ME Inputs" sheetId="2" r:id="rId2"/>
    <sheet name="CP Grid (Tool)" sheetId="3" r:id="rId3"/>
    <sheet name="CP History" sheetId="4" r:id="rId4"/>
  </sheets>
  <definedNames>
    <definedName name="Control_Plan_Number" localSheetId="0">'CP Front Page'!$E$5</definedName>
    <definedName name="Control_Plan_Number">#REF!</definedName>
    <definedName name="Issue" localSheetId="0">'CP Front Page'!$E$6</definedName>
    <definedName name="Issue">#REF!</definedName>
    <definedName name="Point_of_Embodiment" localSheetId="0">'CP Front Page'!$E$28</definedName>
    <definedName name="Point_of_Embodiment">#REF!</definedName>
    <definedName name="Product_Designation" localSheetId="0">'CP Front Page'!$E$8</definedName>
    <definedName name="Product_Designation">#REF!</definedName>
    <definedName name="Product_Number" localSheetId="0">'CP Front Page'!$E$7</definedName>
    <definedName name="Product_Numb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6" i="4"/>
  <c r="D5" i="4"/>
  <c r="D4" i="4"/>
  <c r="D3" i="4"/>
  <c r="D7" i="2"/>
  <c r="D6" i="2"/>
  <c r="D5" i="2"/>
  <c r="D4" i="2"/>
  <c r="D3" i="2"/>
  <c r="A43" i="1"/>
  <c r="J42" i="1" s="1"/>
</calcChain>
</file>

<file path=xl/sharedStrings.xml><?xml version="1.0" encoding="utf-8"?>
<sst xmlns="http://schemas.openxmlformats.org/spreadsheetml/2006/main" count="2178" uniqueCount="541">
  <si>
    <t>Control plan ID</t>
  </si>
  <si>
    <t>Control Plan Grid</t>
  </si>
  <si>
    <t>Issue</t>
  </si>
  <si>
    <t>Input Reference</t>
  </si>
  <si>
    <t>Control Plan History Sheet</t>
  </si>
  <si>
    <t>Control ID</t>
  </si>
  <si>
    <t>Control name</t>
  </si>
  <si>
    <t>Control counter</t>
  </si>
  <si>
    <t>Activated/Deactivated</t>
  </si>
  <si>
    <t>Operation Number</t>
  </si>
  <si>
    <t>Process Step</t>
  </si>
  <si>
    <t>Operation Description</t>
  </si>
  <si>
    <t>Machinery (Tools, Device, Jigs, Equipmen</t>
  </si>
  <si>
    <t>Mandatory</t>
  </si>
  <si>
    <t>Product or Process</t>
  </si>
  <si>
    <t>Characteristic designation</t>
  </si>
  <si>
    <t>Characteristic number</t>
  </si>
  <si>
    <t>Control Plan Front Page</t>
  </si>
  <si>
    <t>Characteristic Source Reference</t>
  </si>
  <si>
    <t>Parameter Designation</t>
  </si>
  <si>
    <t>Parameter Number</t>
  </si>
  <si>
    <t>Parameter Source reference</t>
  </si>
  <si>
    <t>Program Label</t>
  </si>
  <si>
    <t>Control Method</t>
  </si>
  <si>
    <t>Classification</t>
  </si>
  <si>
    <t>Control Type</t>
  </si>
  <si>
    <t>Control Subtype</t>
  </si>
  <si>
    <t>Number of Points</t>
  </si>
  <si>
    <t>Measurement Points Definition</t>
  </si>
  <si>
    <t>Ratio</t>
  </si>
  <si>
    <t>Specific Parameter to be Recorded</t>
  </si>
  <si>
    <t>Acceptance criteria</t>
  </si>
  <si>
    <t>Nominal Value</t>
  </si>
  <si>
    <t>Lower limit</t>
  </si>
  <si>
    <t>Upper limit</t>
  </si>
  <si>
    <t>Unit of Measure</t>
  </si>
  <si>
    <t>Record Metrological Serial Number</t>
  </si>
  <si>
    <t>Minimal Delegation Required</t>
  </si>
  <si>
    <t>Measurement System / Device</t>
  </si>
  <si>
    <t>Activity Description</t>
  </si>
  <si>
    <t>Operation process step</t>
  </si>
  <si>
    <t>Control Plan Number :</t>
  </si>
  <si>
    <t>Actor</t>
  </si>
  <si>
    <t>Sample Frequency</t>
  </si>
  <si>
    <t>Sample size</t>
  </si>
  <si>
    <t>Record Keeping Means / Data Charts</t>
  </si>
  <si>
    <t>Justification for Control Reduction</t>
  </si>
  <si>
    <t>Justification for Control Removal</t>
  </si>
  <si>
    <t>Output Reference</t>
  </si>
  <si>
    <t>Reaction plan</t>
  </si>
  <si>
    <t>ME Dossier</t>
  </si>
  <si>
    <t>Execution system</t>
  </si>
  <si>
    <t>AFM1_D_2026_0300</t>
  </si>
  <si>
    <t>A0</t>
  </si>
  <si>
    <t>Primary Flow QC</t>
  </si>
  <si>
    <t>00000179688</t>
  </si>
  <si>
    <t>CONFORMITY 01</t>
  </si>
  <si>
    <t>Activated</t>
  </si>
  <si>
    <t>0100;0200;0300;0400</t>
  </si>
  <si>
    <t>0100.1;0200.1;0300.1;0400.1</t>
  </si>
  <si>
    <t>L1 - INSTALLATION STEP</t>
  </si>
  <si>
    <t>-</t>
  </si>
  <si>
    <t>Yes</t>
  </si>
  <si>
    <t>Product</t>
  </si>
  <si>
    <t>INSTALLATION CONFORMITY CHECK</t>
  </si>
  <si>
    <t>BUILD PROCESS</t>
  </si>
  <si>
    <t>Safety Critical</t>
  </si>
  <si>
    <t>Qualitative</t>
  </si>
  <si>
    <t>Basic</t>
  </si>
  <si>
    <t>Qualitative Mandatory</t>
  </si>
  <si>
    <t>N/A</t>
  </si>
  <si>
    <t>ENSURE THAT THE INSTALLATION (LOCATION, POSITION AND QUANTITY) IS CARRIED OUT IN ACCORDANCE WITH VALID CONSTRUCTION DOCUMENTS</t>
  </si>
  <si>
    <t>Control Plan Identification</t>
  </si>
  <si>
    <t>No</t>
  </si>
  <si>
    <t>L1</t>
  </si>
  <si>
    <t>VISUAL</t>
  </si>
  <si>
    <t>CHECK THE INSTALLATION (LOCATION, POSITION AND QUANTITY) IN ACCORDANCE WITH CONSTRUCTION DOCUMENTS</t>
  </si>
  <si>
    <t>In-process</t>
  </si>
  <si>
    <t>OPERATOR</t>
  </si>
  <si>
    <t>100</t>
  </si>
  <si>
    <t>NO</t>
  </si>
  <si>
    <t>REWORK / RAISE NC</t>
  </si>
  <si>
    <t>ROUTING</t>
  </si>
  <si>
    <t>QDC_SAP</t>
  </si>
  <si>
    <t>00000185434</t>
  </si>
  <si>
    <t>FLAGNOTES CHECK</t>
  </si>
  <si>
    <t>0100.2;0200.2;0300.2;0400.2</t>
  </si>
  <si>
    <t>Issue :</t>
  </si>
  <si>
    <t>CP_MOB_ATA25_1322_D256-79839-002-00_INST.BRACKET 72X10</t>
  </si>
  <si>
    <t>ENSURE ALL RELEVANT FLAGNOTES ACCORDING TO THE VALID CONSTRUCTION DOCUMENT (VARIANT) ARE OBSERVED</t>
  </si>
  <si>
    <t>CHECK FLAGNOTES OF ALL APPLICABLE DRAWINGS</t>
  </si>
  <si>
    <t>REWORK IN ACCORDANCE WITH THE REGULATION / DRAWING</t>
  </si>
  <si>
    <t>00000195783</t>
  </si>
  <si>
    <t>GEN_GENERAL_NOTE_CHECK</t>
  </si>
  <si>
    <t>0100.3;0200.3;0300.3;0400.3</t>
  </si>
  <si>
    <t>GENERAL NOTE CHECK</t>
  </si>
  <si>
    <t>ENSURE THAT ALL PROCESSING GENERAL NOTES WERE ACCOUNTED FOR DURING PROCESSING OF THE COMPONENTS</t>
  </si>
  <si>
    <t>VISUAL INSPECTION</t>
  </si>
  <si>
    <t>CHECK GENERAL NOTE OF ALL APPLICABLE DRAWINGS</t>
  </si>
  <si>
    <t>Product(s) Number :</t>
  </si>
  <si>
    <t>00000203017</t>
  </si>
  <si>
    <t>GEN_L1_TORQUE_MEASUREMENT</t>
  </si>
  <si>
    <t>0100.4;0200.4;0300.4;0400.4</t>
  </si>
  <si>
    <t>Process</t>
  </si>
  <si>
    <t>CONDITION OF MEASURING EQUIPMENT / TEST EQUIPMENT</t>
  </si>
  <si>
    <t>ENSURE THAT THE MEASURING TEST TOOL IS IN GOOD CONDITION, WITHOUT DAMAGE AND FULLY FUNCTIONAL.</t>
  </si>
  <si>
    <t>MEASURING TEST TOOL CONDITION AND FUNCTIONALITY VERIFICATION</t>
  </si>
  <si>
    <t>Product(s) Designation :</t>
  </si>
  <si>
    <t>00000203757</t>
  </si>
  <si>
    <t>COMPONENT CONFORMITY L1</t>
  </si>
  <si>
    <t>0100.5;0200.5;0300.5;0400.5</t>
  </si>
  <si>
    <t>COMPONENT CONFORMITY</t>
  </si>
  <si>
    <t>ENSURED THAT THE COMPONENT(S) INSTALLED ACCORDING TO THE BOM ARE FREE FROM DAMAGE</t>
  </si>
  <si>
    <t>CHECK OF THE COMPONENT(S) IN ACCORDANCE WITH DRAWINGS AND VISUAL CHECK FOR DAMAGES</t>
  </si>
  <si>
    <t>00000214515</t>
  </si>
  <si>
    <t>CALIBRATION OF MEASURING INSTRUMENT L1</t>
  </si>
  <si>
    <t>0100.6;0200.6;0300.6;0400.6</t>
  </si>
  <si>
    <t>D256-79839-002-00</t>
  </si>
  <si>
    <t>CALIBRATION OF MEASURING INSTRUMENT</t>
  </si>
  <si>
    <t>Point of Embodiment :</t>
  </si>
  <si>
    <t>ENSURE THAT THE TEST EQUIPMENT IS WITHIN THE CALIBRATION PERIOD AND / OR NOT OUTSIDE THE TEST EQUIPMENT MONITORING PHASE</t>
  </si>
  <si>
    <t>TEST EQUIPMENT CALIBRATION AND MONITORING VERIFICATION</t>
  </si>
  <si>
    <t>00000222619</t>
  </si>
  <si>
    <t>GEN_FOD_CHECK L1</t>
  </si>
  <si>
    <t>0100.40;0200.40;0300.40;0400.40</t>
  </si>
  <si>
    <t>FOD CHECK</t>
  </si>
  <si>
    <t>KPPM1057001</t>
  </si>
  <si>
    <t>M1057</t>
  </si>
  <si>
    <t>ENSURE THAT THERE IS NO FOREIGN OBJECT DEBRIS IN THE WORK AREA AND THAT THERE IS NO FOREIGN OBJECT DAMAGE. THE WORK AREA IS CLEAN AND TIDY, AS PER M1057.0.</t>
  </si>
  <si>
    <t>VISUAL CHECK FOR FOREIGN OBJECT DEBRIS AND DAMAGES IN THE WORK AREA.</t>
  </si>
  <si>
    <t>REWORK IN ACCORDANCE WITH THE REGULATION / DRAWING OR RAISE NC</t>
  </si>
  <si>
    <t>00000224572</t>
  </si>
  <si>
    <t>GEN_FOD_CHECK L3</t>
  </si>
  <si>
    <t>0450</t>
  </si>
  <si>
    <t>0450.2</t>
  </si>
  <si>
    <t>L3 -  INSPECTION</t>
  </si>
  <si>
    <t>FOD CHECK L3</t>
  </si>
  <si>
    <t>INST.BRACKET 72X10</t>
  </si>
  <si>
    <t>L3</t>
  </si>
  <si>
    <t>FOD INSPECTION</t>
  </si>
  <si>
    <t>End-of-line / Final</t>
  </si>
  <si>
    <t>INSPECTO</t>
  </si>
  <si>
    <t>RAISE NC</t>
  </si>
  <si>
    <t>00000269859</t>
  </si>
  <si>
    <t>D2567983900200BLDP0001</t>
  </si>
  <si>
    <t>0450.1</t>
  </si>
  <si>
    <t>INSPECTION AFTER ASSEMBLY</t>
  </si>
  <si>
    <t>D256-79839</t>
  </si>
  <si>
    <t>-CHECK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t>
  </si>
  <si>
    <t>PERFORM INSPECTION</t>
  </si>
  <si>
    <t>Machine / Tooling / Jig</t>
  </si>
  <si>
    <t>00000272559</t>
  </si>
  <si>
    <t>Product or process</t>
  </si>
  <si>
    <t>D2567983900200TORQUE07H21</t>
  </si>
  <si>
    <t>0100;0300</t>
  </si>
  <si>
    <t>0100.33;0300.33</t>
  </si>
  <si>
    <t>TORQUE BRACKET-MEGAPHON (63)</t>
  </si>
  <si>
    <t>07H21;L06</t>
  </si>
  <si>
    <t>Criticality</t>
  </si>
  <si>
    <t>Target Value</t>
  </si>
  <si>
    <t>Control Plan Stage</t>
  </si>
  <si>
    <t>TORQUE VALUE : 2.2 NM - 2.8 NM</t>
  </si>
  <si>
    <t>Control Device</t>
  </si>
  <si>
    <t>Reference Method</t>
  </si>
  <si>
    <t>2.2NM - 2.8 NM (UX0002 / UX0003 / UX0004 / UX0005 / UX0006 / UX0007 / UX0008 / UX0030 / UX0032 / UX0036 / UZ0002 / UZ0003 / UZ0004 / UZ0051 / UZ0052)</t>
  </si>
  <si>
    <t>VERIFY TORQUE</t>
  </si>
  <si>
    <t>Record Serial Number</t>
  </si>
  <si>
    <t>Control Actor</t>
  </si>
  <si>
    <t>Control Frequency</t>
  </si>
  <si>
    <t>SPC follow-up</t>
  </si>
  <si>
    <t>ME Dossier documentation</t>
  </si>
  <si>
    <t>00000272692</t>
  </si>
  <si>
    <t>D2567983900200TORQUE11B10</t>
  </si>
  <si>
    <t>0300</t>
  </si>
  <si>
    <t>0300.38</t>
  </si>
  <si>
    <t>Recording / Check Means</t>
  </si>
  <si>
    <t>TORQUE PALLET (660) WITH ITEM 909</t>
  </si>
  <si>
    <t>11B10</t>
  </si>
  <si>
    <t>0100</t>
  </si>
  <si>
    <t>00000272696</t>
  </si>
  <si>
    <t>Install.of Brackets - Mechanic FWD</t>
  </si>
  <si>
    <t>D2567983900200TORQUE07L21</t>
  </si>
  <si>
    <t>0100;0200;0300</t>
  </si>
  <si>
    <t>0100.34;0200.34;0300.34</t>
  </si>
  <si>
    <t>TORQUE O2 BOTTLE BRACKETS (201, 203)</t>
  </si>
  <si>
    <t>07L21/09/03</t>
  </si>
  <si>
    <t>Screw
NAS1801-08-6
Item 702</t>
  </si>
  <si>
    <t>09E13
09F11</t>
  </si>
  <si>
    <t xml:space="preserve"> Product: D256-79839
A9-A9
B9-B9</t>
  </si>
  <si>
    <t>01F08</t>
  </si>
  <si>
    <t>00000272697</t>
  </si>
  <si>
    <t>D2567983900200TORQUE07H22</t>
  </si>
  <si>
    <t>0100.35;0200.35;0300.35</t>
  </si>
  <si>
    <t>Pre-Serial / Level 2</t>
  </si>
  <si>
    <t>TORQUE EXTINGUISHER BRACKETS (42)</t>
  </si>
  <si>
    <t>07H22/21;07L10/05</t>
  </si>
  <si>
    <t>2.2 - 2.8 Nm</t>
  </si>
  <si>
    <t>4</t>
  </si>
  <si>
    <t>00000272698</t>
  </si>
  <si>
    <t>D2567983900200TORQUE07L19</t>
  </si>
  <si>
    <t>0200</t>
  </si>
  <si>
    <t>0200.36</t>
  </si>
  <si>
    <t>TORQUE PBE BRACKET (217)</t>
  </si>
  <si>
    <t>07L19</t>
  </si>
  <si>
    <t>09B13
09C11</t>
  </si>
  <si>
    <t>Control Plan Status</t>
  </si>
  <si>
    <t>00000272701</t>
  </si>
  <si>
    <t>6</t>
  </si>
  <si>
    <t>D2567983900200TORQUE10J19</t>
  </si>
  <si>
    <t>0300.37</t>
  </si>
  <si>
    <t>TORQUE ADAPTER PLATES (640)</t>
  </si>
  <si>
    <t>10J19</t>
  </si>
  <si>
    <t>Screw
NAS1102-08-6
Item 906</t>
  </si>
  <si>
    <t>08F22</t>
  </si>
  <si>
    <t xml:space="preserve"> Product: D256-79839
View E7-8</t>
  </si>
  <si>
    <t>In Progress</t>
  </si>
  <si>
    <t>00000280189</t>
  </si>
  <si>
    <t>D256798390020010R160001</t>
  </si>
  <si>
    <t>0400</t>
  </si>
  <si>
    <t>0400.34</t>
  </si>
  <si>
    <t>INSTALL FELT NEEDLE ON THE ADAPTER PLATE - DISTANCE BETWEEN FELT NEEDLE 1 &amp; 2</t>
  </si>
  <si>
    <t>10R16</t>
  </si>
  <si>
    <t>Screw
NAS1102-08-7
Item 907</t>
  </si>
  <si>
    <t>08E21
08E18</t>
  </si>
  <si>
    <t>DISTANCE : 84MM</t>
  </si>
  <si>
    <t>X</t>
  </si>
  <si>
    <t>CALIPER</t>
  </si>
  <si>
    <t>DISTANCE CHECK</t>
  </si>
  <si>
    <t>Install.of Brackets - Mechanic MID</t>
  </si>
  <si>
    <t>Screw
NAS1102-08-8
Item 905</t>
  </si>
  <si>
    <t>00000280190</t>
  </si>
  <si>
    <t>08D07</t>
  </si>
  <si>
    <t>D256798390020010R150001</t>
  </si>
  <si>
    <t>Released</t>
  </si>
  <si>
    <t xml:space="preserve"> Product: D256-79839
View B7-8</t>
  </si>
  <si>
    <t>0400.35</t>
  </si>
  <si>
    <t>INSTALL FELT NEEDLE ON THE ADAPTER PLATE - DISTANCE BETWEEN ADAPTER PLATE BORDER AND FELT NEEDLE 1</t>
  </si>
  <si>
    <t>2</t>
  </si>
  <si>
    <t>10R15</t>
  </si>
  <si>
    <t>DISTANCE : 87MM</t>
  </si>
  <si>
    <t>10L21</t>
  </si>
  <si>
    <t xml:space="preserve"> Product: D256-79839
View A10-A10</t>
  </si>
  <si>
    <t>Implemented</t>
  </si>
  <si>
    <t>00000280215</t>
  </si>
  <si>
    <t>D2567983900200TORQUE09P22</t>
  </si>
  <si>
    <t>0100.36;0300.36</t>
  </si>
  <si>
    <t>10L19</t>
  </si>
  <si>
    <t>INSTALL STOWAGE BOX (603,604,605,606)</t>
  </si>
  <si>
    <t>09P22;N08;M22/03;L03</t>
  </si>
  <si>
    <t>Superseded</t>
  </si>
  <si>
    <t>3</t>
  </si>
  <si>
    <t>00000280216</t>
  </si>
  <si>
    <t>D2567983900200TORQUE10J17</t>
  </si>
  <si>
    <t>0200.37</t>
  </si>
  <si>
    <t>Canceled without replacement</t>
  </si>
  <si>
    <t>INSTALL ANGLE EHC (607,608) WITH ITEM 905</t>
  </si>
  <si>
    <t>10J17;J14</t>
  </si>
  <si>
    <t>Screw
NAS1102-08-9
Item 909</t>
  </si>
  <si>
    <t>Canceled and replaced by</t>
  </si>
  <si>
    <t>8</t>
  </si>
  <si>
    <t>00000280217</t>
  </si>
  <si>
    <t>D2567983900200TORQUE07M09</t>
  </si>
  <si>
    <t>0200.38</t>
  </si>
  <si>
    <t>INSTALL FASTENING KIT (1073;1002) WITH ITEM 906</t>
  </si>
  <si>
    <t>07M09</t>
  </si>
  <si>
    <t>10P19</t>
  </si>
  <si>
    <t>10L16</t>
  </si>
  <si>
    <t>00000280218</t>
  </si>
  <si>
    <t>D2567983900200TORQUE10E11</t>
  </si>
  <si>
    <t>0100.37</t>
  </si>
  <si>
    <t>INSTALL PARTITION (650) C20 WITH ITEM 905</t>
  </si>
  <si>
    <t>1</t>
  </si>
  <si>
    <t>10E11</t>
  </si>
  <si>
    <t>Control Plan Applicability</t>
  </si>
  <si>
    <t>10L15</t>
  </si>
  <si>
    <t>00000280219</t>
  </si>
  <si>
    <t>D2567983900200TORQUE11P06</t>
  </si>
  <si>
    <t>0300.39</t>
  </si>
  <si>
    <t>Program designation :</t>
  </si>
  <si>
    <t>INSTALL PARTITION (651) C63 WITH ITEM 905</t>
  </si>
  <si>
    <t>11P06</t>
  </si>
  <si>
    <t>10M17</t>
  </si>
  <si>
    <t>A321 ACF (ST08)</t>
  </si>
  <si>
    <t>00000280222</t>
  </si>
  <si>
    <t>D25679839002001013M0001</t>
  </si>
  <si>
    <t>0400.36</t>
  </si>
  <si>
    <t>INSTALL FELT NEEDLE ON THE ADAPTER PLATE - LENGHT</t>
  </si>
  <si>
    <t>10J16</t>
  </si>
  <si>
    <t>DISTANCE : 495MM</t>
  </si>
  <si>
    <t>MEASURE TAPE</t>
  </si>
  <si>
    <t>Plant / FAL :</t>
  </si>
  <si>
    <t>Water absorver
ABS5042B30M
Item 805</t>
  </si>
  <si>
    <t>00000280251</t>
  </si>
  <si>
    <t>D256798390020010J040001</t>
  </si>
  <si>
    <t>0400.37</t>
  </si>
  <si>
    <t>INSTALL FELT NEEDLE ON THE HATRACK - LENGHT</t>
  </si>
  <si>
    <t>10J04</t>
  </si>
  <si>
    <t>FAL MOB</t>
  </si>
  <si>
    <t>Horizontal distance
(From C50)
87 mm</t>
  </si>
  <si>
    <t>DISTANCE : 200MM</t>
  </si>
  <si>
    <t>00000280252</t>
  </si>
  <si>
    <t>D256798390020010G020001</t>
  </si>
  <si>
    <t>0400.38</t>
  </si>
  <si>
    <t>INSTALL FELT NEEDLE ON THE HATRACK - HEIGHT FROM ADAPTER PLATE</t>
  </si>
  <si>
    <t>10G02</t>
  </si>
  <si>
    <t>Area :</t>
  </si>
  <si>
    <t>DISTANCE : 35MM</t>
  </si>
  <si>
    <t>Station 25</t>
  </si>
  <si>
    <t>00000280253</t>
  </si>
  <si>
    <t>D256798390020010H020001</t>
  </si>
  <si>
    <t>Vertical distance
(Whole Adapter Plate)
495 mm</t>
  </si>
  <si>
    <t>0400.39</t>
  </si>
  <si>
    <t>INSTALL FELT NEEDLE ON THE HATRACK - ADAPTER PLATE BORDER</t>
  </si>
  <si>
    <t>10H02</t>
  </si>
  <si>
    <t>DISTANCE : 59MM</t>
  </si>
  <si>
    <t xml:space="preserve"> Product: D256-79839
View A10-A10
Note 3</t>
  </si>
  <si>
    <t>The bonding surface is prepared as per 80-T-35-0014</t>
  </si>
  <si>
    <t>MSN 13441</t>
  </si>
  <si>
    <t>80-T-34-3001</t>
  </si>
  <si>
    <t>00000154662</t>
  </si>
  <si>
    <t>KPP80T343001001</t>
  </si>
  <si>
    <t>0100.7;0200.7;0300.7;0400.7</t>
  </si>
  <si>
    <t>NUTS WITH SPHERICAL BEARING</t>
  </si>
  <si>
    <t>General</t>
  </si>
  <si>
    <t>Qualitative Optional</t>
  </si>
  <si>
    <t>ENSURE THAT NUTS WITH SPHERICAL BEARING SURFACES ARE USED WITH SPHERICAL WASHERS, AS PER 80T-34-3001 CHAP. 3.1.</t>
  </si>
  <si>
    <t>SPHERICAL NUT AND WASHER PAIRING</t>
  </si>
  <si>
    <t>Control plan Owner :</t>
  </si>
  <si>
    <t>00000154663</t>
  </si>
  <si>
    <t>KPP80T343001002</t>
  </si>
  <si>
    <t>Wesley Floricourt</t>
  </si>
  <si>
    <t>0100.8;0200.8;0300.8;0400.8</t>
  </si>
  <si>
    <t>EDGE DISTANCE</t>
  </si>
  <si>
    <t>Horizontal distance
(From C50)
201 mm</t>
  </si>
  <si>
    <t>ENSURE THAT THE EDGE DISTANCE COMPLIES WITH THE STANDARD / DRAWING, AS PER 80T-34-3001 CHAP. 6.</t>
  </si>
  <si>
    <t>HARDWARE EDGE DISTANCE COMPLIANCE</t>
  </si>
  <si>
    <t>00000154664</t>
  </si>
  <si>
    <t>KPP80T343001005</t>
  </si>
  <si>
    <t>0100.9;0200.9;0300.9;0400.9</t>
  </si>
  <si>
    <t>SCREW LENGTH / PROTRUSION CONDITION</t>
  </si>
  <si>
    <t>Inputs Reference</t>
  </si>
  <si>
    <t>10M14</t>
  </si>
  <si>
    <t>Build Process Number &amp; Issue:</t>
  </si>
  <si>
    <t>ENSURE THAT SCREW LENGTH COMPLIES WITH THE DESIGN DOCUMENTS AND 0.5 TO 3 THREADS + HEIGHT OF THE CHAMFER, IF VISIBLE, PROTRUDES ABOVE THE NUT, AS PER 80-T-34-3001 CHAP. 5.5.</t>
  </si>
  <si>
    <t>D2567983900200 Issue D</t>
  </si>
  <si>
    <t>CALIPER / VISUAL INSPECTION</t>
  </si>
  <si>
    <t>SCREW LENGTH AND THREAD PROTRUSION VALIDATION</t>
  </si>
  <si>
    <t>00000154665</t>
  </si>
  <si>
    <t>KPP80T343001006</t>
  </si>
  <si>
    <t>0100.10;0200.10;0300.10;0400.10</t>
  </si>
  <si>
    <t>NUMBER OF WASHERS</t>
  </si>
  <si>
    <t>ENSURE THAT 3 WASHERS MAX. ARE INSTALLED PER CONNECTION, AS WELL AS 2 WASHERS PER SIDE MAX. CARE SHALL BE TAKEN TO ENSURE THAT THE THINNER WASHER BEARS DOWN ON THE PART, AS PER 80-T-34-3001 CHAP. 5.6.</t>
  </si>
  <si>
    <t>D-FMEAs Number &amp; Issue :</t>
  </si>
  <si>
    <t>WASHER QUANTITY LIMITS AND CORRECT PLACEMENT</t>
  </si>
  <si>
    <t>Water absorver
ABS5042B30M
Item 806</t>
  </si>
  <si>
    <t>10H04</t>
  </si>
  <si>
    <t>00000154666</t>
  </si>
  <si>
    <t>KPP80T343001008</t>
  </si>
  <si>
    <t>0100.11;0200.11;0300.11;0400.11</t>
  </si>
  <si>
    <t xml:space="preserve"> Product: D256-79839
View B10-B10</t>
  </si>
  <si>
    <t>GAP ON NUTS AND SCREW HEADS</t>
  </si>
  <si>
    <t>Horizontal distance
(From Edge)
59 mm</t>
  </si>
  <si>
    <t>ENSURE THAT NUTS AND SCREW HEADS ARE FLUSH AGAINST THE PART AFTER TIGHTENING, AS PER 80-T-34-3001 CHAP. 5.8.4.</t>
  </si>
  <si>
    <t>FEELER GAUGE / VISUAL INSPECTION</t>
  </si>
  <si>
    <t>FLUSH SEATING OF NUTS AND SCREW HEADS</t>
  </si>
  <si>
    <t>P-FMEAs Number &amp; Issue :</t>
  </si>
  <si>
    <t>00000154667</t>
  </si>
  <si>
    <t>KPP80T343001011</t>
  </si>
  <si>
    <t>0100.12;0200.12;0300.12;0400.12</t>
  </si>
  <si>
    <t xml:space="preserve">N/A as per check of 24-AUG-26                                                                                                                                                                                </t>
  </si>
  <si>
    <t>FLUSHNESS - COUNTERSUNK HEAD</t>
  </si>
  <si>
    <t>Vertical distance
(From edge)
35 mm</t>
  </si>
  <si>
    <t>ENSURE THAT NO COUNTERSUNK HEADS PROTRUDE OR RECEDE TOO MUCH, AS PER 80-T-34-3001 CHAP. 5.8.5.</t>
  </si>
  <si>
    <t>FLUSHNESS GAUGE / CALIPER</t>
  </si>
  <si>
    <t>COUNTERSUNK HEAD DEPTH VERIFICATION</t>
  </si>
  <si>
    <t>80-T-34-3050</t>
  </si>
  <si>
    <t>00000154696</t>
  </si>
  <si>
    <t>KPP80T343050001</t>
  </si>
  <si>
    <t>0100.13;0200.13;0300.13;0400.13</t>
  </si>
  <si>
    <t>Size
(Water absorver size)
200 mm</t>
  </si>
  <si>
    <t>TOOL CALIBRATION</t>
  </si>
  <si>
    <t>ENSURE THAT TORQUE TOOL COMPLIANCE HAS BEEN CHECKED AT THE REQUIRED INSPECTION FREQUENCY (CALIBRATION STICKER) BEFORE APPLYING TIGHTENING TORQUE, AS PER 80-T-34-3050 CHAP. 6.1.</t>
  </si>
  <si>
    <t>Definition Dossier Number &amp; Issue :</t>
  </si>
  <si>
    <t>TORQUE TOOL CALIBRATION VERIFICATION</t>
  </si>
  <si>
    <t>Water absorver
ABS5042B50M
Item 806</t>
  </si>
  <si>
    <t>D256-79839 (Sheet 006 Issue C) ; (Sheet 007 Issue C) ; (Sheet 008 Issue C) ; (Sheet 009 Issue C) ; (Sheet 010 Issue C) ; (Sheet 011 Issue C)</t>
  </si>
  <si>
    <t xml:space="preserve"> Product: D256-79839
View B10-B10
Note 3</t>
  </si>
  <si>
    <t>00000154697</t>
  </si>
  <si>
    <t>KPP80T343050002</t>
  </si>
  <si>
    <t>0100.14;0200.14;0300.14;0400.14</t>
  </si>
  <si>
    <t>USE OF EXTENSION</t>
  </si>
  <si>
    <t>10C11</t>
  </si>
  <si>
    <t xml:space="preserve"> Product: D256-79839
View C10-C10</t>
  </si>
  <si>
    <t>ENSURE THAT TIGHTENING TORQUE COMPLIES WITH REQUIREMENTS BEFORE APPLYING IT WITH EXTENSIONS AND JOGS, AS PER 80-T-34-3050 CHAP. 5.1 B.</t>
  </si>
  <si>
    <t>TORQUE WRENCH</t>
  </si>
  <si>
    <t>TORQUE VALUE VALIDATION FOR TOOL EXTENSIONS</t>
  </si>
  <si>
    <t>00000154698</t>
  </si>
  <si>
    <t>KPP80T343050003</t>
  </si>
  <si>
    <t>0100.15;0200.15;0300.15;0400.15</t>
  </si>
  <si>
    <t>10B08</t>
  </si>
  <si>
    <t>PROCESS/ CORRECT USE - TORQUE TOOLS</t>
  </si>
  <si>
    <t>ENSURE PROPER OPERATION OF TORQUE TOOLS ARE CORRECTLY SET FOR VALIDATED TORQUE RANGE AND IS TESTED (AUTOMATIC RELEASE) BEFORE APPLYING TIGHTENING TORQUE, AS PER 80-T-34-3050 CHAP. 6.</t>
  </si>
  <si>
    <t>TORQUE TOOL SETTING AND AUTOMATIC RELEASE TEST</t>
  </si>
  <si>
    <t>10D08</t>
  </si>
  <si>
    <t>00000154699</t>
  </si>
  <si>
    <t>KPP80T343050004</t>
  </si>
  <si>
    <t>0100.16;0200.16;0300.16;0400.16</t>
  </si>
  <si>
    <t>TORQUE VALUE ON SCREW CONNECTIONS</t>
  </si>
  <si>
    <t>Install.of Brackets - Mechanic AFT</t>
  </si>
  <si>
    <t>11N09</t>
  </si>
  <si>
    <t>ENSURE THAT THE TIGHTENING TORQUE TO BE APPLIED TO SCREW CONNECTIONS COMPLIES WITH DRAWING OR STANDARD SPECIFICATIONS, AS PER 80-T-34-3050 CHAP. 5.3 AND 6.2.</t>
  </si>
  <si>
    <t>SCREW CONNECTION TORQUE APPLICATION</t>
  </si>
  <si>
    <t>00000154700</t>
  </si>
  <si>
    <t>KPP80T343050005</t>
  </si>
  <si>
    <t>0100.17;0200.17;0300.17;0400.17</t>
  </si>
  <si>
    <t xml:space="preserve"> Product: D256-79839
View A11-A11</t>
  </si>
  <si>
    <t>RE-TORQUING PROCESS FOR SEALING COMPOUND</t>
  </si>
  <si>
    <t>Control Plan Team Mandatory functions :</t>
  </si>
  <si>
    <t>ENSURE NO RE-TORQUING TAKES PLACE LESS THAN 10 MIN AFTER THE INITIAL TORQUING OR AFTER THE END OF EXTENDED SEALANT TREATMENT TIME, AS PER 80-T-34-3050 CHAP. 5.5.2 AND 6.2.</t>
  </si>
  <si>
    <t>TIMER / STOPWATCH</t>
  </si>
  <si>
    <t>RE-TORQUING WAIT TIME COMPLIANCE</t>
  </si>
  <si>
    <t>11M06</t>
  </si>
  <si>
    <t>00000154701</t>
  </si>
  <si>
    <t>KPP80T343050006</t>
  </si>
  <si>
    <t>0100.18;0200.18;0300.18;0400.18</t>
  </si>
  <si>
    <t>DAMAGE ON SCREW CONNECTIONS</t>
  </si>
  <si>
    <t>11L09</t>
  </si>
  <si>
    <t>Participants</t>
  </si>
  <si>
    <t>ENSURE THAT SCREW CONNECTIONS ARE NOT DAMAGED, CRACKED, CRUSHED OR DEFORMED, AS PER 80-T-34-3050 CHAP. 6.2.</t>
  </si>
  <si>
    <t>SCREW CONNECTION DAMAGE INSPECTION</t>
  </si>
  <si>
    <t>80-T-34-9032</t>
  </si>
  <si>
    <t>00000154791</t>
  </si>
  <si>
    <t>11F03
11H04
11H06
11F07</t>
  </si>
  <si>
    <t>KPP80T349032002</t>
  </si>
  <si>
    <t xml:space="preserve"> Product: D256-79839
View B11-B11</t>
  </si>
  <si>
    <t>0100.19;0200.19;0300.19;0400.19</t>
  </si>
  <si>
    <t>ADHESIVES TREATMENT</t>
  </si>
  <si>
    <t>ENSURE THAT THE FLASH-OFF TIME, TREATMENT PARAMETERS AND MIXING RATIO OF MULTI-COMPONENT ADHESIVES COMPLY WITH SUPPLEMENTS, AS PER 80-T-34-9032 CHAP. 6.2.</t>
  </si>
  <si>
    <t>08E14</t>
  </si>
  <si>
    <t xml:space="preserve"> Product: D256-79839
View C7-8</t>
  </si>
  <si>
    <t>TIMER / STOPWATCH &amp; SCALE / GRADUATED CUPS</t>
  </si>
  <si>
    <t>MULTI-COMPONENT ADHESIVE TREATMENT AND MIXING VALIDATION</t>
  </si>
  <si>
    <t>Document Authorizer</t>
  </si>
  <si>
    <t>Screw 
NAS1102-08-5
Item 905</t>
  </si>
  <si>
    <t>00000154792</t>
  </si>
  <si>
    <t>KPP80T349032007</t>
  </si>
  <si>
    <t>08E15</t>
  </si>
  <si>
    <t>0100.20;0200.20;0300.20;0400.20</t>
  </si>
  <si>
    <t>SUFFICIENT LEAKAGE OF ADHESIVE</t>
  </si>
  <si>
    <t>ENSURE THAT THERE ARE NO EXTERNAL DEFECTS ON PARTS AND THAT ADHESIVE SEEPAGE IS COMPLIANT, AS PER 80-T-34-9032 CHAP. 6.4.1.</t>
  </si>
  <si>
    <t>EXTERNAL DEFECT AND ADHESIVE SEEPAGE INSPECTION</t>
  </si>
  <si>
    <t>11D13
11C13
11D11
11C12</t>
  </si>
  <si>
    <t xml:space="preserve"> Product: D256-79839
View X7-11</t>
  </si>
  <si>
    <t>Quality
Manufacturing Engineering
Engineering</t>
  </si>
  <si>
    <t>00000154793</t>
  </si>
  <si>
    <t>KPP80T349032009</t>
  </si>
  <si>
    <t>0100.21;0200.21;0300.21;0400.21</t>
  </si>
  <si>
    <t>PARTS - TAPPING TEST</t>
  </si>
  <si>
    <t>ENSURE THAT ADHESIVE BONDING IS CHECKED FOR DEFECTS BY TAPPING WITH A METAL OBJECT (TAPPING TEST), AS PER 80-T-34-9032 CHAP. 6.4.3.</t>
  </si>
  <si>
    <t>ADHESIVE BOND TAPPING TEST</t>
  </si>
  <si>
    <r>
      <rPr>
        <b/>
        <i/>
        <sz val="14"/>
        <color theme="0"/>
        <rFont val="Futura Book"/>
      </rPr>
      <t>Control Plan Team Members</t>
    </r>
    <r>
      <rPr>
        <b/>
        <sz val="18"/>
        <color theme="0"/>
        <rFont val="Futura Book"/>
      </rPr>
      <t xml:space="preserve">
Function -&gt;</t>
    </r>
  </si>
  <si>
    <t>00000154794</t>
  </si>
  <si>
    <t>KPP80T349032010</t>
  </si>
  <si>
    <t>0100.22;0200.22;0300.22;0400.22</t>
  </si>
  <si>
    <t>ME</t>
  </si>
  <si>
    <t>PARTS - ULTRASONIC RESONANCE TEST</t>
  </si>
  <si>
    <t>ENSURE THAT THERE ARE NO COHESIVE DEFECTS AND CAVITIES ON PARTS. THIS RESONANCE TEST IS PERFORMED USING THE BOND TESTER IN ACCORDANCE WITH AITM 6-5002, AS PER 80-T-34-9032 CHAP. 6.4.4.</t>
  </si>
  <si>
    <t>Q</t>
  </si>
  <si>
    <t>BONDING TESTER MRC 100 S</t>
  </si>
  <si>
    <t>RESONANCE TESTING FOR COHESIVE DEFECTS AND CAVITIES</t>
  </si>
  <si>
    <t>00000195650</t>
  </si>
  <si>
    <t>KPP80T349032011</t>
  </si>
  <si>
    <t>0100.23;0200.23;0300.23;0400.23</t>
  </si>
  <si>
    <t>MANUFACTURING MEANS</t>
  </si>
  <si>
    <t>ENSURE THAT APPROVED MANUFACTURING MEANS ALONE ARE USED, MEETING REQUIREMENTS, AS PER 80-T-34-9032 CHAP. 4.2.</t>
  </si>
  <si>
    <t>APPROVED MANUFACTURING MEANS VERIFICATION</t>
  </si>
  <si>
    <t>80-T-35-0130</t>
  </si>
  <si>
    <t>00000154820</t>
  </si>
  <si>
    <t>KPP80T350130002</t>
  </si>
  <si>
    <t>0100.24;0200.24;0300.24;0400.24</t>
  </si>
  <si>
    <t>CORRECT SANDING</t>
  </si>
  <si>
    <t>HoQ</t>
  </si>
  <si>
    <t>ENSURE THAT THE SURFACE IS EVENLY SANDED WITH REQUIRED ABRASIVE, INCLUDING CORRECT GRIT, AS PER 80-T-35-0130 CHAP. 5.2.1.</t>
  </si>
  <si>
    <t>SURFACE SANDING QUALITY AND ABRASIVE GRIT VERIFICATION</t>
  </si>
  <si>
    <t>Document Writer</t>
  </si>
  <si>
    <t>AIPI 09-01-002</t>
  </si>
  <si>
    <t>00000199359</t>
  </si>
  <si>
    <t>AIPI 0901002.0002</t>
  </si>
  <si>
    <t>0100.25;0200.25;0300.25;0400.25</t>
  </si>
  <si>
    <t>PRODUCT QUALIFICATION</t>
  </si>
  <si>
    <t>ENSURE THAT THE CLEANING AGENT IS QUALIFIED IN ACCORDANCE WITH AIMS09-03-001, ANS OR AMS AND IS APPROVED BY THE LOCAL PROCESS</t>
  </si>
  <si>
    <t>CHECK CLEANING AGENT QUALIFICATION</t>
  </si>
  <si>
    <r>
      <rPr>
        <b/>
        <i/>
        <sz val="14"/>
        <color theme="0"/>
        <rFont val="Futura Book"/>
      </rPr>
      <t>Control Plan Team Members</t>
    </r>
    <r>
      <rPr>
        <b/>
        <sz val="18"/>
        <color theme="0"/>
        <rFont val="Futura Book"/>
      </rPr>
      <t xml:space="preserve">
Surname Name (Siglum) -&gt;</t>
    </r>
  </si>
  <si>
    <t>00000199360</t>
  </si>
  <si>
    <t>AIPI 0901002.0003</t>
  </si>
  <si>
    <t>0100.26;0200.26;0300.26;0400.26</t>
  </si>
  <si>
    <t>CLEANING METHOD WITH WIPES</t>
  </si>
  <si>
    <t>ENSURE THAT THE APPLICATION AND WIPING PROCESS COMPLIES WITH THE SPECIFICATION</t>
  </si>
  <si>
    <t>Wengel Yohannes</t>
  </si>
  <si>
    <t>00000199491</t>
  </si>
  <si>
    <t>AIPI 0901002.0004</t>
  </si>
  <si>
    <t>0100.27;0200.27;0300.27;0400.27</t>
  </si>
  <si>
    <t>SURFACE AFTER CLEANING</t>
  </si>
  <si>
    <t>ENSURE THE LAST WIPE IS CLEAN AFTER USE, CLEANING TIME, THE SURFACE IS VISUALLY CLEAN AND DRY AFTER CLEANING</t>
  </si>
  <si>
    <t>ENSURE THAT THE SURFACE IS VISUALLY CLEAN AND DRY AFTER CLEANING</t>
  </si>
  <si>
    <t>00000199492</t>
  </si>
  <si>
    <t>AIPI 0901002.0005</t>
  </si>
  <si>
    <t>0100.28;0200.28;0300.28;0400.28</t>
  </si>
  <si>
    <t>CLEANING PROCESS</t>
  </si>
  <si>
    <t>VERIFY THE SELECTION OF THE APPROPRIATE CLEANING METHOD, APPROPRIATE CLEANING MATERIAL, ENERGY OF ULTRASONIC CLEANING PROCESS OR EXPOSURE TIME TO ULTRASONIC CLEANING PROCESS RESPECT THIS SPECIFICATION AS APPLICABLE</t>
  </si>
  <si>
    <t>ENSURE THAT THE CLEANING METHOD/AGENT IS AS SPECIFIED</t>
  </si>
  <si>
    <t>00000199493</t>
  </si>
  <si>
    <t>AIPI 0901002.0006</t>
  </si>
  <si>
    <t>Deactivated</t>
  </si>
  <si>
    <t>0100.29;0200.29;0300.29;0400.29</t>
  </si>
  <si>
    <t>AUTOMATED CLEANING</t>
  </si>
  <si>
    <t>ENSURE THAT A BRISTLE CLEANING DEVICE WITH PRESCRIBED ROTATION SPEED IS USED (760 MIN, 840 MAX, 800 RPM NOM)</t>
  </si>
  <si>
    <t>OPSU</t>
  </si>
  <si>
    <t>CLEANING MACHINE</t>
  </si>
  <si>
    <t>00000199494</t>
  </si>
  <si>
    <t>AIPI 0901002.0007</t>
  </si>
  <si>
    <t>0100.30;0200.30;0300.30;0400.30</t>
  </si>
  <si>
    <t>ROTATIONAL SPEED - AUTOMATED CLEANING</t>
  </si>
  <si>
    <t>ENSURE THAT THE PRESCRIBED ROTATIONAL SPEED OF CLEANING DEVICE ACTS ON THE PRODUCT SURFACE, (0.3 MIN, 0.7 MAX, 0.5 NOM) M/SEC</t>
  </si>
  <si>
    <t>Tyler Garner</t>
  </si>
  <si>
    <t>00000199495</t>
  </si>
  <si>
    <t>AIPI 0901002.0008</t>
  </si>
  <si>
    <t>0100.31;0200.31;0300.31;0400.31</t>
  </si>
  <si>
    <t>AUTOMATED CLEANING WITH SOLVENT</t>
  </si>
  <si>
    <t>ENSURE THAT THE CORRECT AMOUNT OF DETERGENT IS USED (400 MIN, 700 MAX, 330 ML/HR NOMINAL)</t>
  </si>
  <si>
    <t>PRESSURE SENSOR</t>
  </si>
  <si>
    <t>00000212273</t>
  </si>
  <si>
    <t>AIPI 0901002.0001</t>
  </si>
  <si>
    <t>0100.32;0200.32;0300.32;0400.32</t>
  </si>
  <si>
    <t>OPERATOR SHALL BE TRAINED AND COMPETENT, SHOWN BY COMPETENCE CERTIFICATE APPROVED BY QUALITY</t>
  </si>
  <si>
    <t>Date</t>
  </si>
  <si>
    <t>Content of Revision</t>
  </si>
  <si>
    <t>Planned</t>
  </si>
  <si>
    <t>Real</t>
  </si>
  <si>
    <t>Creation of the control plan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</si>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</sst>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m&quot;/&quot;d&quot;/&quot;yy"/>
    <numFmt numFmtId="166" formatCode="d/m/yy"/>
  </numFmts>
  <fonts count="40">
    <font>
      <sz val="10"/>
      <color rgb="FF000000"/>
      <name val="Calibri"/>
      <scheme val="minor"/>
    </font>
    <font>
      <sz val="11"/>
      <color theme="1"/>
      <name val="Calibri"/>
    </font>
    <font>
      <sz val="24"/>
      <color rgb="FFFFFFFF"/>
      <name val="Arial"/>
    </font>
    <font>
      <sz val="24"/>
      <color theme="0"/>
      <name val="Arial"/>
    </font>
    <font>
      <sz val="10"/>
      <color theme="1"/>
      <name val="Calibri"/>
      <scheme val="minor"/>
    </font>
    <font>
      <sz val="10"/>
      <name val="Calibri"/>
    </font>
    <font>
      <sz val="10"/>
      <color theme="1"/>
      <name val="Calibri"/>
    </font>
    <font>
      <sz val="28"/>
      <color theme="0"/>
      <name val="Arial"/>
    </font>
    <font>
      <b/>
      <sz val="10"/>
      <color theme="1"/>
      <name val="Arial"/>
    </font>
    <font>
      <sz val="12"/>
      <color theme="1"/>
      <name val="Arial"/>
    </font>
    <font>
      <sz val="12"/>
      <color rgb="FF808080"/>
      <name val="Arial"/>
    </font>
    <font>
      <b/>
      <sz val="9"/>
      <color theme="1"/>
      <name val="Arial"/>
    </font>
    <font>
      <sz val="9"/>
      <color theme="1"/>
      <name val="Arial"/>
    </font>
    <font>
      <b/>
      <sz val="16"/>
      <color theme="0"/>
      <name val="Arial"/>
    </font>
    <font>
      <b/>
      <sz val="10"/>
      <color theme="1"/>
      <name val="Arial"/>
    </font>
    <font>
      <b/>
      <sz val="14"/>
      <color theme="1"/>
      <name val="Arial"/>
    </font>
    <font>
      <sz val="10"/>
      <color theme="1"/>
      <name val="Arial"/>
    </font>
    <font>
      <b/>
      <sz val="12"/>
      <color theme="1"/>
      <name val="Arial"/>
    </font>
    <font>
      <sz val="11"/>
      <color rgb="FF000000"/>
      <name val="Calibri"/>
    </font>
    <font>
      <b/>
      <sz val="9"/>
      <color rgb="FFFFFFFF"/>
      <name val="Arial"/>
    </font>
    <font>
      <sz val="10"/>
      <color theme="1"/>
      <name val="Arial"/>
    </font>
    <font>
      <b/>
      <sz val="11"/>
      <color theme="1"/>
      <name val="Arial"/>
    </font>
    <font>
      <sz val="12"/>
      <color rgb="FFFF0000"/>
      <name val="Arial"/>
    </font>
    <font>
      <b/>
      <i/>
      <sz val="12"/>
      <color theme="1"/>
      <name val="Arial"/>
    </font>
    <font>
      <b/>
      <sz val="14"/>
      <color theme="0"/>
      <name val="Arial"/>
    </font>
    <font>
      <sz val="9"/>
      <color theme="0"/>
      <name val="Poppins"/>
    </font>
    <font>
      <b/>
      <sz val="18"/>
      <color theme="0"/>
      <name val="Poppins"/>
    </font>
    <font>
      <sz val="13"/>
      <color theme="0"/>
      <name val="Poppins"/>
    </font>
    <font>
      <sz val="11"/>
      <color theme="1"/>
      <name val="Poppins"/>
    </font>
    <font>
      <sz val="12"/>
      <color theme="1"/>
      <name val="Poppins"/>
    </font>
    <font>
      <b/>
      <sz val="12"/>
      <color theme="1"/>
      <name val="Poppins"/>
    </font>
    <font>
      <sz val="18"/>
      <color theme="0"/>
      <name val="Poppins"/>
    </font>
    <font>
      <sz val="10"/>
      <color theme="1"/>
      <name val="Poppins"/>
    </font>
    <font>
      <b/>
      <sz val="18"/>
      <color theme="0"/>
      <name val="Arial"/>
    </font>
    <font>
      <b/>
      <sz val="16"/>
      <color theme="0"/>
      <name val="Poppins"/>
    </font>
    <font>
      <sz val="9"/>
      <color theme="1"/>
      <name val="Poppins"/>
    </font>
    <font>
      <sz val="11"/>
      <color theme="1"/>
      <name val="Arial"/>
    </font>
    <font>
      <sz val="10"/>
      <color theme="1"/>
      <name val="Poppins"/>
    </font>
    <font>
      <b/>
      <i/>
      <sz val="14"/>
      <color theme="0"/>
      <name val="Futura Book"/>
    </font>
    <font>
      <b/>
      <sz val="18"/>
      <color theme="0"/>
      <name val="Futura Book"/>
    </font>
  </fonts>
  <fills count="6">
    <fill>
      <patternFill patternType="none"/>
    </fill>
    <fill>
      <patternFill patternType="gray125"/>
    </fill>
    <fill>
      <patternFill patternType="solid">
        <fgColor rgb="FF4682B4"/>
        <bgColor rgb="FF4682B4"/>
      </patternFill>
    </fill>
    <fill>
      <patternFill patternType="solid">
        <fgColor rgb="FF0070C0"/>
        <bgColor rgb="FF0070C0"/>
      </patternFill>
    </fill>
    <fill>
      <patternFill patternType="solid">
        <fgColor rgb="FFCCCCCC"/>
        <bgColor rgb="FFCCCCCC"/>
      </patternFill>
    </fill>
    <fill>
      <patternFill patternType="solid">
        <fgColor rgb="FFFFF2CC"/>
        <bgColor rgb="FFFFF2CC"/>
      </patternFill>
    </fill>
  </fills>
  <borders count="5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medium">
        <color rgb="FF000000"/>
      </right>
      <top/>
      <bottom/>
      <diagonal/>
    </border>
    <border>
      <left style="medium">
        <color rgb="FF000000"/>
      </left>
      <right/>
      <top/>
      <bottom style="thin">
        <color rgb="FF000000"/>
      </bottom>
      <diagonal/>
    </border>
    <border>
      <left style="thin">
        <color rgb="FF000000"/>
      </left>
      <right/>
      <top/>
      <bottom/>
      <diagonal/>
    </border>
    <border>
      <left style="thin">
        <color rgb="FF000000"/>
      </left>
      <right/>
      <top/>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s>
  <cellStyleXfs count="1">
    <xf numFmtId="0" fontId="0" fillId="0" borderId="0"/>
  </cellStyleXfs>
  <cellXfs count="150">
    <xf numFmtId="0" fontId="0" fillId="0" borderId="0" xfId="0"/>
    <xf numFmtId="0" fontId="1" fillId="2" borderId="1" xfId="0" applyFont="1" applyFill="1" applyBorder="1" applyAlignment="1">
      <alignment wrapText="1"/>
    </xf>
    <xf numFmtId="0" fontId="4" fillId="0" borderId="0" xfId="0" applyFont="1" applyAlignment="1">
      <alignment vertical="center"/>
    </xf>
    <xf numFmtId="0" fontId="6" fillId="0" borderId="0" xfId="0" applyFont="1" applyAlignment="1">
      <alignment vertical="center"/>
    </xf>
    <xf numFmtId="0" fontId="3" fillId="3" borderId="4"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left" vertical="center"/>
    </xf>
    <xf numFmtId="0" fontId="11" fillId="0" borderId="0" xfId="0" applyFont="1" applyAlignment="1">
      <alignment horizontal="right" vertical="top" wrapText="1"/>
    </xf>
    <xf numFmtId="0" fontId="9" fillId="0" borderId="0" xfId="0" applyFont="1" applyAlignment="1">
      <alignment horizontal="left" vertical="center"/>
    </xf>
    <xf numFmtId="0" fontId="4" fillId="0" borderId="0" xfId="0" applyFont="1" applyAlignment="1">
      <alignment horizontal="center"/>
    </xf>
    <xf numFmtId="0" fontId="12" fillId="0" borderId="0" xfId="0" applyFont="1" applyAlignment="1">
      <alignment horizontal="left" vertical="top" wrapText="1"/>
    </xf>
    <xf numFmtId="0" fontId="1" fillId="0" borderId="1" xfId="0" applyFont="1" applyBorder="1" applyAlignment="1">
      <alignment wrapText="1"/>
    </xf>
    <xf numFmtId="0" fontId="12" fillId="0" borderId="0" xfId="0" applyFont="1" applyAlignment="1">
      <alignment horizontal="left" vertical="top"/>
    </xf>
    <xf numFmtId="0" fontId="1" fillId="0" borderId="1" xfId="0" applyFont="1" applyBorder="1" applyAlignment="1">
      <alignment horizontal="right" wrapText="1"/>
    </xf>
    <xf numFmtId="0" fontId="11" fillId="0" borderId="0" xfId="0" applyFont="1" applyAlignment="1">
      <alignment horizontal="right" vertical="top"/>
    </xf>
    <xf numFmtId="0" fontId="12" fillId="0" borderId="0" xfId="0" applyFont="1" applyAlignment="1">
      <alignment horizontal="center" vertical="top" wrapText="1"/>
    </xf>
    <xf numFmtId="49" fontId="9" fillId="0" borderId="0" xfId="0" applyNumberFormat="1" applyFont="1" applyAlignment="1">
      <alignment vertical="center"/>
    </xf>
    <xf numFmtId="49" fontId="9" fillId="0" borderId="0" xfId="0" applyNumberFormat="1" applyFont="1" applyAlignment="1">
      <alignment horizontal="center" vertical="top"/>
    </xf>
    <xf numFmtId="0" fontId="16" fillId="0" borderId="0" xfId="0" applyFont="1" applyAlignment="1">
      <alignment vertical="center"/>
    </xf>
    <xf numFmtId="0" fontId="17" fillId="0" borderId="0" xfId="0" applyFont="1" applyAlignment="1">
      <alignment vertical="center" wrapText="1"/>
    </xf>
    <xf numFmtId="0" fontId="9" fillId="0" borderId="0" xfId="0" applyFont="1" applyAlignment="1">
      <alignment vertical="center"/>
    </xf>
    <xf numFmtId="0" fontId="6" fillId="0" borderId="11" xfId="0" applyFont="1" applyBorder="1" applyAlignment="1">
      <alignment vertical="center"/>
    </xf>
    <xf numFmtId="0" fontId="9" fillId="0" borderId="0" xfId="0" applyFont="1" applyAlignment="1">
      <alignment horizontal="center" vertical="top"/>
    </xf>
    <xf numFmtId="0" fontId="17" fillId="0" borderId="0" xfId="0" applyFont="1" applyAlignment="1">
      <alignment vertical="center"/>
    </xf>
    <xf numFmtId="0" fontId="15" fillId="0" borderId="0" xfId="0" applyFont="1" applyAlignment="1">
      <alignment horizontal="left" vertical="center"/>
    </xf>
    <xf numFmtId="0" fontId="18" fillId="2" borderId="4" xfId="0" applyFont="1" applyFill="1" applyBorder="1" applyAlignment="1">
      <alignment horizontal="center" vertical="center" wrapText="1"/>
    </xf>
    <xf numFmtId="49" fontId="17" fillId="0" borderId="0" xfId="0" applyNumberFormat="1" applyFont="1" applyAlignment="1">
      <alignment horizontal="center"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4" fillId="0" borderId="0" xfId="0" applyFont="1" applyAlignment="1">
      <alignment horizontal="center" vertical="center" wrapText="1"/>
    </xf>
    <xf numFmtId="0" fontId="13" fillId="0" borderId="0" xfId="0" applyFont="1" applyAlignment="1">
      <alignment vertical="center"/>
    </xf>
    <xf numFmtId="49" fontId="6" fillId="0" borderId="14" xfId="0" applyNumberFormat="1" applyFont="1" applyBorder="1" applyAlignment="1">
      <alignment horizontal="center" vertical="center" wrapText="1"/>
    </xf>
    <xf numFmtId="0" fontId="6" fillId="0" borderId="13" xfId="0" applyFont="1" applyBorder="1" applyAlignment="1">
      <alignment horizontal="center" vertical="center" wrapText="1"/>
    </xf>
    <xf numFmtId="49" fontId="12" fillId="0" borderId="10" xfId="0" applyNumberFormat="1" applyFont="1" applyBorder="1" applyAlignment="1">
      <alignment horizontal="center" vertical="center" wrapText="1"/>
    </xf>
    <xf numFmtId="49" fontId="19"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3" xfId="0" applyFont="1" applyBorder="1" applyAlignment="1">
      <alignment vertical="center"/>
    </xf>
    <xf numFmtId="0" fontId="17" fillId="0" borderId="1" xfId="0" applyFont="1" applyBorder="1" applyAlignment="1">
      <alignment horizontal="center" vertical="center"/>
    </xf>
    <xf numFmtId="49" fontId="12" fillId="0" borderId="13" xfId="0" applyNumberFormat="1" applyFont="1" applyBorder="1" applyAlignment="1">
      <alignment horizontal="center" vertical="center" wrapText="1"/>
    </xf>
    <xf numFmtId="0" fontId="20" fillId="0" borderId="13" xfId="0" applyFont="1" applyBorder="1" applyAlignment="1">
      <alignment horizontal="center" vertical="center" wrapText="1"/>
    </xf>
    <xf numFmtId="49" fontId="19" fillId="0" borderId="13" xfId="0" applyNumberFormat="1" applyFont="1" applyBorder="1" applyAlignment="1">
      <alignment horizontal="center" vertical="center" wrapText="1"/>
    </xf>
    <xf numFmtId="0" fontId="17" fillId="0" borderId="0" xfId="0" applyFont="1" applyAlignment="1">
      <alignment horizontal="center" vertical="center"/>
    </xf>
    <xf numFmtId="49" fontId="6" fillId="0" borderId="14" xfId="0" applyNumberFormat="1" applyFont="1" applyBorder="1" applyAlignment="1">
      <alignment horizontal="center" vertical="center"/>
    </xf>
    <xf numFmtId="0" fontId="22" fillId="0" borderId="0" xfId="0" applyFont="1" applyAlignment="1">
      <alignment horizontal="left" vertical="center"/>
    </xf>
    <xf numFmtId="0" fontId="23" fillId="0" borderId="0" xfId="0" applyFont="1" applyAlignment="1">
      <alignment horizontal="left" vertical="center"/>
    </xf>
    <xf numFmtId="0" fontId="24" fillId="3" borderId="20" xfId="0" applyFont="1" applyFill="1" applyBorder="1" applyAlignment="1">
      <alignment vertical="center"/>
    </xf>
    <xf numFmtId="0" fontId="24" fillId="3" borderId="21" xfId="0" applyFont="1" applyFill="1" applyBorder="1" applyAlignment="1">
      <alignment vertical="center"/>
    </xf>
    <xf numFmtId="164" fontId="25" fillId="3" borderId="21" xfId="0" applyNumberFormat="1" applyFont="1" applyFill="1" applyBorder="1" applyAlignment="1">
      <alignment vertical="center"/>
    </xf>
    <xf numFmtId="164" fontId="25" fillId="3" borderId="22" xfId="0" applyNumberFormat="1" applyFont="1" applyFill="1" applyBorder="1" applyAlignment="1">
      <alignment vertical="center"/>
    </xf>
    <xf numFmtId="49" fontId="12" fillId="0" borderId="1" xfId="0" applyNumberFormat="1" applyFont="1" applyBorder="1" applyAlignment="1">
      <alignment horizontal="center" vertical="center" wrapText="1"/>
    </xf>
    <xf numFmtId="0" fontId="28" fillId="3" borderId="29" xfId="0" applyFont="1" applyFill="1" applyBorder="1" applyAlignment="1">
      <alignment vertical="center"/>
    </xf>
    <xf numFmtId="49" fontId="4" fillId="0" borderId="0" xfId="0" applyNumberFormat="1" applyFont="1" applyAlignment="1">
      <alignment vertical="center"/>
    </xf>
    <xf numFmtId="164" fontId="25" fillId="3" borderId="29" xfId="0" applyNumberFormat="1" applyFont="1" applyFill="1" applyBorder="1" applyAlignment="1">
      <alignment vertical="center"/>
    </xf>
    <xf numFmtId="164" fontId="25" fillId="3" borderId="30" xfId="0" applyNumberFormat="1" applyFont="1" applyFill="1" applyBorder="1" applyAlignment="1">
      <alignment vertical="center"/>
    </xf>
    <xf numFmtId="0" fontId="26" fillId="3" borderId="1" xfId="0" applyFont="1" applyFill="1" applyBorder="1" applyAlignment="1">
      <alignment horizontal="right" vertical="center" wrapText="1"/>
    </xf>
    <xf numFmtId="164" fontId="31" fillId="3" borderId="32" xfId="0" applyNumberFormat="1" applyFont="1" applyFill="1" applyBorder="1" applyAlignment="1">
      <alignment vertical="center"/>
    </xf>
    <xf numFmtId="164" fontId="25" fillId="3" borderId="33" xfId="0" applyNumberFormat="1" applyFont="1" applyFill="1" applyBorder="1" applyAlignment="1">
      <alignment vertical="center"/>
    </xf>
    <xf numFmtId="164" fontId="25" fillId="3" borderId="34" xfId="0" applyNumberFormat="1" applyFont="1" applyFill="1" applyBorder="1" applyAlignment="1">
      <alignment vertical="center"/>
    </xf>
    <xf numFmtId="0" fontId="25" fillId="3" borderId="35" xfId="0" applyFont="1" applyFill="1" applyBorder="1" applyAlignment="1">
      <alignment vertical="center"/>
    </xf>
    <xf numFmtId="0" fontId="28" fillId="0" borderId="0" xfId="0" applyFont="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14" fontId="32" fillId="0" borderId="45" xfId="0" applyNumberFormat="1" applyFont="1" applyBorder="1" applyAlignment="1">
      <alignment horizontal="center" vertical="center" wrapText="1"/>
    </xf>
    <xf numFmtId="165" fontId="6" fillId="0" borderId="10" xfId="0" applyNumberFormat="1" applyFont="1" applyBorder="1" applyAlignment="1">
      <alignment vertical="center"/>
    </xf>
    <xf numFmtId="0" fontId="35" fillId="0" borderId="8" xfId="0" applyFont="1" applyBorder="1" applyAlignment="1">
      <alignment horizontal="center" vertical="center"/>
    </xf>
    <xf numFmtId="166" fontId="37" fillId="0" borderId="45" xfId="0" applyNumberFormat="1" applyFont="1" applyBorder="1" applyAlignment="1">
      <alignment horizontal="center" vertical="center"/>
    </xf>
    <xf numFmtId="166" fontId="37" fillId="0" borderId="1" xfId="0" applyNumberFormat="1" applyFont="1" applyBorder="1" applyAlignment="1">
      <alignment horizontal="center" vertical="center"/>
    </xf>
    <xf numFmtId="166" fontId="37" fillId="0" borderId="47" xfId="0" applyNumberFormat="1" applyFont="1" applyBorder="1" applyAlignment="1">
      <alignment horizontal="center" vertical="center"/>
    </xf>
    <xf numFmtId="166" fontId="37" fillId="0" borderId="48" xfId="0" applyNumberFormat="1" applyFont="1" applyBorder="1" applyAlignment="1">
      <alignment horizontal="center" vertical="center"/>
    </xf>
    <xf numFmtId="0" fontId="35" fillId="0" borderId="49" xfId="0" applyFont="1" applyBorder="1" applyAlignment="1">
      <alignment horizontal="center" vertical="center"/>
    </xf>
    <xf numFmtId="166" fontId="37"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left" vertical="center" wrapText="1"/>
    </xf>
    <xf numFmtId="0" fontId="7" fillId="3" borderId="2" xfId="0" applyFont="1" applyFill="1" applyBorder="1" applyAlignment="1">
      <alignment horizontal="center" vertical="center"/>
    </xf>
    <xf numFmtId="0" fontId="5" fillId="0" borderId="3" xfId="0" applyFont="1" applyBorder="1"/>
    <xf numFmtId="0" fontId="10" fillId="0" borderId="0" xfId="0" applyFont="1" applyAlignment="1">
      <alignment horizontal="left" vertical="center"/>
    </xf>
    <xf numFmtId="0" fontId="0" fillId="0" borderId="0" xfId="0"/>
    <xf numFmtId="0" fontId="13" fillId="3" borderId="5" xfId="0" applyFont="1" applyFill="1" applyBorder="1" applyAlignment="1">
      <alignment horizontal="center" vertical="center"/>
    </xf>
    <xf numFmtId="0" fontId="5" fillId="0" borderId="6" xfId="0" applyFont="1" applyBorder="1"/>
    <xf numFmtId="0" fontId="5" fillId="0" borderId="7" xfId="0" applyFont="1" applyBorder="1"/>
    <xf numFmtId="0" fontId="15" fillId="0" borderId="8" xfId="0" applyFont="1" applyBorder="1" applyAlignment="1">
      <alignment vertical="center"/>
    </xf>
    <xf numFmtId="0" fontId="5" fillId="0" borderId="9" xfId="0" applyFont="1" applyBorder="1"/>
    <xf numFmtId="0" fontId="5" fillId="0" borderId="10" xfId="0" applyFont="1" applyBorder="1"/>
    <xf numFmtId="49" fontId="17" fillId="0" borderId="8" xfId="0" applyNumberFormat="1" applyFont="1" applyBorder="1" applyAlignment="1">
      <alignment horizontal="center" vertical="center" wrapText="1"/>
    </xf>
    <xf numFmtId="0" fontId="15" fillId="0" borderId="8" xfId="0" applyFont="1" applyBorder="1" applyAlignment="1">
      <alignment horizontal="left" vertical="center"/>
    </xf>
    <xf numFmtId="49" fontId="17" fillId="0" borderId="8" xfId="0" applyNumberFormat="1" applyFont="1" applyBorder="1" applyAlignment="1">
      <alignment horizontal="center" vertical="center"/>
    </xf>
    <xf numFmtId="49" fontId="17" fillId="0" borderId="12" xfId="0" applyNumberFormat="1" applyFont="1" applyBorder="1" applyAlignment="1">
      <alignment horizontal="center" vertical="center" wrapText="1"/>
    </xf>
    <xf numFmtId="0" fontId="5" fillId="0" borderId="11" xfId="0" applyFont="1" applyBorder="1"/>
    <xf numFmtId="0" fontId="5" fillId="0" borderId="13" xfId="0" applyFont="1" applyBorder="1"/>
    <xf numFmtId="0" fontId="13" fillId="3" borderId="5" xfId="0" applyFont="1" applyFill="1" applyBorder="1" applyAlignment="1">
      <alignment horizontal="left" vertical="center"/>
    </xf>
    <xf numFmtId="0" fontId="17" fillId="4" borderId="0" xfId="0" applyFont="1" applyFill="1" applyAlignment="1">
      <alignment horizontal="left" vertical="center"/>
    </xf>
    <xf numFmtId="0" fontId="13" fillId="3" borderId="15" xfId="0" applyFont="1" applyFill="1" applyBorder="1" applyAlignment="1">
      <alignment horizontal="left" vertical="center"/>
    </xf>
    <xf numFmtId="0" fontId="5" fillId="0" borderId="16" xfId="0" applyFont="1" applyBorder="1"/>
    <xf numFmtId="0" fontId="5" fillId="0" borderId="17" xfId="0" applyFont="1" applyBorder="1"/>
    <xf numFmtId="0" fontId="13" fillId="3" borderId="8" xfId="0" applyFont="1" applyFill="1" applyBorder="1" applyAlignment="1">
      <alignment horizontal="left" vertical="center"/>
    </xf>
    <xf numFmtId="0" fontId="17" fillId="0" borderId="8" xfId="0" applyFont="1" applyBorder="1" applyAlignment="1">
      <alignment vertical="center"/>
    </xf>
    <xf numFmtId="0" fontId="17" fillId="0" borderId="8" xfId="0" applyFont="1" applyBorder="1" applyAlignment="1">
      <alignment horizontal="left" vertical="center"/>
    </xf>
    <xf numFmtId="164" fontId="27" fillId="3" borderId="27" xfId="0" applyNumberFormat="1" applyFont="1" applyFill="1" applyBorder="1" applyAlignment="1">
      <alignment horizontal="left" vertical="center" wrapText="1"/>
    </xf>
    <xf numFmtId="0" fontId="5" fillId="0" borderId="28" xfId="0" applyFont="1" applyBorder="1"/>
    <xf numFmtId="0" fontId="29" fillId="0" borderId="9" xfId="0" applyFont="1" applyBorder="1" applyAlignment="1">
      <alignment horizontal="center" vertical="center" textRotation="90" wrapText="1"/>
    </xf>
    <xf numFmtId="0" fontId="28" fillId="0" borderId="8" xfId="0" applyFont="1" applyBorder="1" applyAlignment="1">
      <alignment horizontal="center" vertical="center"/>
    </xf>
    <xf numFmtId="0" fontId="5" fillId="0" borderId="31" xfId="0" applyFont="1" applyBorder="1"/>
    <xf numFmtId="0" fontId="28" fillId="0" borderId="46" xfId="0" applyFont="1" applyBorder="1" applyAlignment="1">
      <alignment horizontal="center" vertical="center"/>
    </xf>
    <xf numFmtId="0" fontId="36" fillId="0" borderId="8" xfId="0" applyFont="1" applyBorder="1" applyAlignment="1">
      <alignment horizontal="left" vertical="center" wrapText="1"/>
    </xf>
    <xf numFmtId="0" fontId="28" fillId="0" borderId="49" xfId="0" applyFont="1" applyBorder="1" applyAlignment="1">
      <alignment horizontal="center" vertical="center"/>
    </xf>
    <xf numFmtId="0" fontId="5" fillId="0" borderId="51" xfId="0" applyFont="1" applyBorder="1"/>
    <xf numFmtId="0" fontId="5" fillId="0" borderId="52" xfId="0" applyFont="1" applyBorder="1"/>
    <xf numFmtId="0" fontId="28" fillId="0" borderId="53" xfId="0" applyFont="1" applyBorder="1" applyAlignment="1">
      <alignment horizontal="center" vertical="center"/>
    </xf>
    <xf numFmtId="0" fontId="5" fillId="0" borderId="50" xfId="0" applyFont="1" applyBorder="1"/>
    <xf numFmtId="0" fontId="36" fillId="0" borderId="49" xfId="0" applyFont="1" applyBorder="1" applyAlignment="1">
      <alignment horizontal="left" vertical="center" wrapText="1"/>
    </xf>
    <xf numFmtId="0" fontId="30" fillId="0" borderId="9" xfId="0" applyFont="1" applyBorder="1" applyAlignment="1">
      <alignment horizontal="center" vertical="center" textRotation="90" wrapText="1"/>
    </xf>
    <xf numFmtId="0" fontId="21" fillId="5" borderId="8" xfId="0" applyFont="1" applyFill="1" applyBorder="1" applyAlignment="1">
      <alignment vertical="center"/>
    </xf>
    <xf numFmtId="0" fontId="17" fillId="0" borderId="8" xfId="0" applyFont="1" applyBorder="1" applyAlignment="1">
      <alignment horizontal="left" vertical="center" wrapText="1"/>
    </xf>
    <xf numFmtId="0" fontId="26" fillId="3" borderId="23" xfId="0" applyFont="1" applyFill="1" applyBorder="1" applyAlignment="1">
      <alignment horizontal="center" vertical="center"/>
    </xf>
    <xf numFmtId="0" fontId="5" fillId="0" borderId="24" xfId="0" applyFont="1" applyBorder="1"/>
    <xf numFmtId="0" fontId="5" fillId="0" borderId="25" xfId="0" applyFont="1" applyBorder="1"/>
    <xf numFmtId="0" fontId="26" fillId="3" borderId="26" xfId="0" applyFont="1" applyFill="1" applyBorder="1" applyAlignment="1">
      <alignment horizontal="center" vertical="center" wrapText="1"/>
    </xf>
    <xf numFmtId="0" fontId="29" fillId="0" borderId="8" xfId="0" applyFont="1" applyBorder="1" applyAlignment="1">
      <alignment horizontal="center" vertical="center" textRotation="90" wrapText="1"/>
    </xf>
    <xf numFmtId="0" fontId="32" fillId="0" borderId="0" xfId="0" applyFont="1" applyAlignment="1">
      <alignment horizontal="left" vertical="center" textRotation="90" wrapText="1"/>
    </xf>
    <xf numFmtId="0" fontId="5" fillId="0" borderId="19" xfId="0" applyFont="1" applyBorder="1"/>
    <xf numFmtId="0" fontId="29" fillId="0" borderId="0" xfId="0" applyFont="1" applyAlignment="1">
      <alignment horizontal="left" vertical="center" textRotation="90" wrapText="1"/>
    </xf>
    <xf numFmtId="0" fontId="5" fillId="0" borderId="37" xfId="0" applyFont="1" applyBorder="1"/>
    <xf numFmtId="0" fontId="5" fillId="0" borderId="44" xfId="0" applyFont="1" applyBorder="1"/>
    <xf numFmtId="0" fontId="29" fillId="0" borderId="0" xfId="0" applyFont="1" applyAlignment="1">
      <alignment horizontal="center" vertical="center" textRotation="90" wrapText="1"/>
    </xf>
    <xf numFmtId="0" fontId="26" fillId="3" borderId="36" xfId="0" applyFont="1" applyFill="1" applyBorder="1" applyAlignment="1">
      <alignment horizontal="right" vertical="center" wrapText="1"/>
    </xf>
    <xf numFmtId="0" fontId="5" fillId="0" borderId="18" xfId="0" applyFont="1" applyBorder="1"/>
    <xf numFmtId="0" fontId="5" fillId="0" borderId="14" xfId="0" applyFont="1" applyBorder="1"/>
    <xf numFmtId="0" fontId="28" fillId="0" borderId="0" xfId="0" applyFont="1" applyAlignment="1">
      <alignment horizontal="center" vertical="center"/>
    </xf>
    <xf numFmtId="164" fontId="26" fillId="3" borderId="38" xfId="0" applyNumberFormat="1" applyFont="1" applyFill="1" applyBorder="1" applyAlignment="1">
      <alignment horizontal="center" vertical="center"/>
    </xf>
    <xf numFmtId="0" fontId="33" fillId="3" borderId="39" xfId="0" applyFont="1" applyFill="1" applyBorder="1" applyAlignment="1">
      <alignment horizontal="center" vertical="center"/>
    </xf>
    <xf numFmtId="0" fontId="5" fillId="0" borderId="39" xfId="0" applyFont="1" applyBorder="1"/>
    <xf numFmtId="0" fontId="5" fillId="0" borderId="43" xfId="0" applyFont="1" applyBorder="1"/>
    <xf numFmtId="0" fontId="33" fillId="3" borderId="40" xfId="0" applyFont="1" applyFill="1" applyBorder="1" applyAlignment="1">
      <alignment horizontal="center" vertical="center"/>
    </xf>
    <xf numFmtId="0" fontId="5" fillId="0" borderId="40" xfId="0" applyFont="1" applyBorder="1"/>
    <xf numFmtId="0" fontId="5" fillId="0" borderId="12" xfId="0" applyFont="1" applyBorder="1"/>
    <xf numFmtId="164" fontId="34" fillId="3" borderId="41" xfId="0" applyNumberFormat="1" applyFont="1" applyFill="1" applyBorder="1" applyAlignment="1">
      <alignment horizontal="center" vertical="center"/>
    </xf>
    <xf numFmtId="0" fontId="5" fillId="0" borderId="42" xfId="0" applyFont="1" applyBorder="1"/>
    <xf numFmtId="164" fontId="34" fillId="3" borderId="36" xfId="0" applyNumberFormat="1" applyFont="1" applyFill="1" applyBorder="1" applyAlignment="1">
      <alignment horizontal="center" vertical="center"/>
    </xf>
    <xf numFmtId="49" fontId="12" fillId="0" borderId="17" xfId="0" applyNumberFormat="1" applyFont="1" applyBorder="1" applyAlignment="1">
      <alignment horizontal="center" vertical="center" wrapText="1"/>
    </xf>
    <xf numFmtId="0" fontId="12" fillId="0" borderId="19" xfId="0" applyFont="1" applyBorder="1" applyAlignment="1">
      <alignment horizontal="center" vertical="center" wrapText="1"/>
    </xf>
    <xf numFmtId="0" fontId="2" fillId="3" borderId="0" xfId="0" applyFont="1" applyFill="1" applyAlignment="1">
      <alignment horizontal="center" vertical="center" wrapText="1"/>
    </xf>
    <xf numFmtId="0" fontId="8" fillId="0" borderId="0" xfId="0" applyFont="1" applyAlignment="1">
      <alignment vertical="center"/>
    </xf>
    <xf numFmtId="49" fontId="6" fillId="0" borderId="18" xfId="0" applyNumberFormat="1" applyFont="1" applyBorder="1" applyAlignment="1">
      <alignment horizontal="center" vertical="center" wrapText="1"/>
    </xf>
    <xf numFmtId="0" fontId="6" fillId="0" borderId="19" xfId="0" applyFont="1" applyBorder="1" applyAlignment="1">
      <alignment horizontal="center" vertical="center" wrapText="1"/>
    </xf>
    <xf numFmtId="0" fontId="20" fillId="0" borderId="19" xfId="0" applyFont="1" applyBorder="1" applyAlignment="1">
      <alignment horizontal="center" vertical="center" wrapText="1"/>
    </xf>
    <xf numFmtId="0" fontId="3" fillId="3" borderId="2" xfId="0" applyFont="1" applyFill="1" applyBorder="1" applyAlignment="1">
      <alignment horizontal="center" vertical="center" wrapText="1"/>
    </xf>
    <xf numFmtId="0" fontId="14" fillId="0" borderId="0" xfId="0" applyFont="1" applyAlignment="1">
      <alignment vertical="center"/>
    </xf>
    <xf numFmtId="0" fontId="1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133350</xdr:rowOff>
    </xdr:from>
    <xdr:ext cx="1800225" cy="409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28575</xdr:rowOff>
    </xdr:from>
    <xdr:ext cx="1676400" cy="3810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53"/>
  <sheetViews>
    <sheetView showGridLines="0" tabSelected="1" topLeftCell="A28" workbookViewId="0">
      <selection activeCell="E36" sqref="E36:AA36"/>
    </sheetView>
  </sheetViews>
  <sheetFormatPr defaultColWidth="14.44140625" defaultRowHeight="15" customHeight="1"/>
  <cols>
    <col min="1" max="1" width="14" customWidth="1"/>
    <col min="2" max="2" width="13.6640625" customWidth="1"/>
    <col min="3" max="3" width="12.44140625" customWidth="1"/>
    <col min="4" max="4" width="6.33203125" customWidth="1"/>
    <col min="5" max="5" width="3.6640625" customWidth="1"/>
    <col min="6" max="6" width="6" customWidth="1"/>
    <col min="7" max="7" width="52" customWidth="1"/>
    <col min="8" max="27" width="6.6640625" customWidth="1"/>
  </cols>
  <sheetData>
    <row r="1" spans="1:27" ht="57" customHeight="1">
      <c r="A1" s="75" t="s">
        <v>17</v>
      </c>
      <c r="B1" s="76"/>
      <c r="C1" s="76"/>
      <c r="D1" s="76"/>
      <c r="E1" s="76"/>
      <c r="F1" s="76"/>
      <c r="G1" s="76"/>
      <c r="H1" s="76"/>
      <c r="I1" s="76"/>
      <c r="J1" s="76"/>
      <c r="K1" s="76"/>
      <c r="L1" s="76"/>
      <c r="M1" s="76"/>
      <c r="N1" s="76"/>
      <c r="O1" s="76"/>
      <c r="P1" s="76"/>
      <c r="Q1" s="76"/>
      <c r="R1" s="76"/>
      <c r="S1" s="76"/>
      <c r="T1" s="76"/>
      <c r="U1" s="76"/>
      <c r="V1" s="76"/>
      <c r="W1" s="76"/>
      <c r="X1" s="76"/>
      <c r="Y1" s="76"/>
      <c r="Z1" s="76"/>
      <c r="AA1" s="76"/>
    </row>
    <row r="2" spans="1:27" ht="30" customHeight="1">
      <c r="A2" s="5"/>
      <c r="B2" s="5"/>
      <c r="C2" s="77"/>
      <c r="D2" s="78"/>
      <c r="E2" s="8"/>
      <c r="F2" s="5"/>
      <c r="G2" s="5"/>
      <c r="H2" s="5"/>
      <c r="I2" s="5"/>
      <c r="J2" s="5"/>
      <c r="K2" s="5"/>
      <c r="L2" s="5"/>
      <c r="M2" s="5"/>
      <c r="N2" s="5"/>
      <c r="O2" s="5"/>
      <c r="P2" s="5"/>
      <c r="Q2" s="5"/>
      <c r="R2" s="5"/>
      <c r="S2" s="5"/>
      <c r="T2" s="5"/>
      <c r="U2" s="5"/>
      <c r="V2" s="5"/>
      <c r="W2" s="5"/>
      <c r="X2" s="5"/>
      <c r="Y2" s="5"/>
      <c r="Z2" s="5"/>
      <c r="AA2" s="5"/>
    </row>
    <row r="3" spans="1:27" ht="30" customHeight="1">
      <c r="A3" s="5"/>
      <c r="B3" s="5"/>
      <c r="C3" s="6"/>
      <c r="D3" s="6"/>
      <c r="E3" s="8"/>
      <c r="F3" s="5"/>
      <c r="G3" s="5"/>
      <c r="H3" s="5"/>
      <c r="I3" s="5"/>
      <c r="J3" s="5"/>
      <c r="K3" s="5"/>
      <c r="L3" s="5"/>
      <c r="M3" s="5"/>
      <c r="N3" s="5"/>
      <c r="O3" s="5"/>
      <c r="P3" s="5"/>
      <c r="Q3" s="5"/>
      <c r="R3" s="5"/>
      <c r="S3" s="5"/>
      <c r="T3" s="5"/>
      <c r="U3" s="5"/>
      <c r="V3" s="5"/>
      <c r="W3" s="5"/>
      <c r="X3" s="5"/>
      <c r="Y3" s="5"/>
      <c r="Z3" s="5"/>
      <c r="AA3" s="5"/>
    </row>
    <row r="4" spans="1:27" ht="30" customHeight="1">
      <c r="A4" s="79" t="s">
        <v>72</v>
      </c>
      <c r="B4" s="80"/>
      <c r="C4" s="81"/>
      <c r="D4" s="5"/>
      <c r="E4" s="5"/>
      <c r="F4" s="5"/>
      <c r="G4" s="5"/>
      <c r="H4" s="5"/>
      <c r="I4" s="5"/>
      <c r="J4" s="5"/>
      <c r="K4" s="5"/>
      <c r="L4" s="5"/>
      <c r="M4" s="5"/>
      <c r="N4" s="5"/>
      <c r="O4" s="5"/>
      <c r="P4" s="5"/>
      <c r="Q4" s="5"/>
      <c r="R4" s="5"/>
      <c r="S4" s="5"/>
      <c r="T4" s="5"/>
      <c r="U4" s="5"/>
      <c r="V4" s="5"/>
      <c r="W4" s="5"/>
      <c r="X4" s="5"/>
      <c r="Y4" s="5"/>
      <c r="Z4" s="5"/>
      <c r="AA4" s="5"/>
    </row>
    <row r="5" spans="1:27" ht="30" customHeight="1">
      <c r="A5" s="82" t="s">
        <v>41</v>
      </c>
      <c r="B5" s="83"/>
      <c r="C5" s="83"/>
      <c r="D5" s="84"/>
      <c r="E5" s="85" t="s">
        <v>88</v>
      </c>
      <c r="F5" s="83"/>
      <c r="G5" s="83"/>
      <c r="H5" s="83"/>
      <c r="I5" s="83"/>
      <c r="J5" s="83"/>
      <c r="K5" s="83"/>
      <c r="L5" s="83"/>
      <c r="M5" s="83"/>
      <c r="N5" s="83"/>
      <c r="O5" s="83"/>
      <c r="P5" s="83"/>
      <c r="Q5" s="83"/>
      <c r="R5" s="83"/>
      <c r="S5" s="83"/>
      <c r="T5" s="83"/>
      <c r="U5" s="83"/>
      <c r="V5" s="83"/>
      <c r="W5" s="83"/>
      <c r="X5" s="83"/>
      <c r="Y5" s="83"/>
      <c r="Z5" s="83"/>
      <c r="AA5" s="84"/>
    </row>
    <row r="6" spans="1:27" ht="30" customHeight="1">
      <c r="A6" s="86" t="s">
        <v>87</v>
      </c>
      <c r="B6" s="83"/>
      <c r="C6" s="83"/>
      <c r="D6" s="84"/>
      <c r="E6" s="85" t="s">
        <v>53</v>
      </c>
      <c r="F6" s="83"/>
      <c r="G6" s="83"/>
      <c r="H6" s="83"/>
      <c r="I6" s="83"/>
      <c r="J6" s="83"/>
      <c r="K6" s="83"/>
      <c r="L6" s="83"/>
      <c r="M6" s="83"/>
      <c r="N6" s="83"/>
      <c r="O6" s="83"/>
      <c r="P6" s="83"/>
      <c r="Q6" s="83"/>
      <c r="R6" s="83"/>
      <c r="S6" s="83"/>
      <c r="T6" s="83"/>
      <c r="U6" s="83"/>
      <c r="V6" s="83"/>
      <c r="W6" s="83"/>
      <c r="X6" s="83"/>
      <c r="Y6" s="83"/>
      <c r="Z6" s="83"/>
      <c r="AA6" s="84"/>
    </row>
    <row r="7" spans="1:27" ht="30" customHeight="1">
      <c r="A7" s="86" t="s">
        <v>99</v>
      </c>
      <c r="B7" s="83"/>
      <c r="C7" s="83"/>
      <c r="D7" s="84"/>
      <c r="E7" s="87" t="s">
        <v>117</v>
      </c>
      <c r="F7" s="83"/>
      <c r="G7" s="83"/>
      <c r="H7" s="83"/>
      <c r="I7" s="83"/>
      <c r="J7" s="83"/>
      <c r="K7" s="83"/>
      <c r="L7" s="83"/>
      <c r="M7" s="83"/>
      <c r="N7" s="83"/>
      <c r="O7" s="83"/>
      <c r="P7" s="83"/>
      <c r="Q7" s="83"/>
      <c r="R7" s="83"/>
      <c r="S7" s="83"/>
      <c r="T7" s="83"/>
      <c r="U7" s="83"/>
      <c r="V7" s="83"/>
      <c r="W7" s="83"/>
      <c r="X7" s="83"/>
      <c r="Y7" s="83"/>
      <c r="Z7" s="83"/>
      <c r="AA7" s="84"/>
    </row>
    <row r="8" spans="1:27" ht="30" customHeight="1">
      <c r="A8" s="86" t="s">
        <v>107</v>
      </c>
      <c r="B8" s="83"/>
      <c r="C8" s="83"/>
      <c r="D8" s="84"/>
      <c r="E8" s="88" t="s">
        <v>137</v>
      </c>
      <c r="F8" s="89"/>
      <c r="G8" s="89"/>
      <c r="H8" s="89"/>
      <c r="I8" s="89"/>
      <c r="J8" s="89"/>
      <c r="K8" s="89"/>
      <c r="L8" s="89"/>
      <c r="M8" s="89"/>
      <c r="N8" s="89"/>
      <c r="O8" s="89"/>
      <c r="P8" s="89"/>
      <c r="Q8" s="89"/>
      <c r="R8" s="89"/>
      <c r="S8" s="89"/>
      <c r="T8" s="89"/>
      <c r="U8" s="89"/>
      <c r="V8" s="89"/>
      <c r="W8" s="89"/>
      <c r="X8" s="89"/>
      <c r="Y8" s="89"/>
      <c r="Z8" s="89"/>
      <c r="AA8" s="90"/>
    </row>
    <row r="9" spans="1:27" ht="30" customHeight="1">
      <c r="A9" s="24"/>
      <c r="B9" s="24"/>
      <c r="C9" s="24"/>
      <c r="D9" s="24"/>
      <c r="E9" s="26"/>
      <c r="F9" s="26"/>
      <c r="G9" s="26"/>
      <c r="H9" s="26"/>
      <c r="I9" s="26"/>
      <c r="J9" s="26"/>
      <c r="K9" s="26"/>
      <c r="L9" s="26"/>
      <c r="M9" s="26"/>
      <c r="N9" s="26"/>
      <c r="O9" s="26"/>
      <c r="P9" s="26"/>
      <c r="Q9" s="26"/>
      <c r="R9" s="26"/>
      <c r="S9" s="26"/>
      <c r="T9" s="26"/>
      <c r="U9" s="26"/>
      <c r="V9" s="26"/>
      <c r="W9" s="26"/>
      <c r="X9" s="26"/>
      <c r="Y9" s="26"/>
      <c r="Z9" s="26"/>
      <c r="AA9" s="26"/>
    </row>
    <row r="10" spans="1:27" ht="30" customHeight="1">
      <c r="A10" s="91" t="s">
        <v>160</v>
      </c>
      <c r="B10" s="80"/>
      <c r="C10" s="81"/>
      <c r="D10" s="27"/>
      <c r="E10" s="8"/>
      <c r="F10" s="28"/>
      <c r="G10" s="30"/>
      <c r="H10" s="28"/>
      <c r="I10" s="5"/>
      <c r="J10" s="5"/>
      <c r="K10" s="28"/>
      <c r="L10" s="5"/>
      <c r="M10" s="5"/>
      <c r="N10" s="5"/>
      <c r="O10" s="5"/>
      <c r="P10" s="5"/>
      <c r="Q10" s="5"/>
      <c r="R10" s="5"/>
      <c r="S10" s="5"/>
      <c r="T10" s="5"/>
      <c r="U10" s="5"/>
      <c r="V10" s="5"/>
      <c r="W10" s="5"/>
      <c r="X10" s="5"/>
      <c r="Y10" s="5"/>
      <c r="Z10" s="5"/>
      <c r="AA10" s="5"/>
    </row>
    <row r="11" spans="1:27" ht="30" customHeight="1">
      <c r="A11" s="24"/>
      <c r="B11" s="28"/>
      <c r="C11" s="8"/>
      <c r="D11" s="28"/>
      <c r="E11" s="28"/>
      <c r="F11" s="28"/>
      <c r="G11" s="28"/>
      <c r="H11" s="5"/>
      <c r="I11" s="28"/>
      <c r="J11" s="5"/>
      <c r="K11" s="5"/>
      <c r="L11" s="5"/>
      <c r="M11" s="5"/>
      <c r="N11" s="5"/>
      <c r="O11" s="5"/>
      <c r="P11" s="5"/>
      <c r="Q11" s="5"/>
      <c r="R11" s="5"/>
      <c r="S11" s="5"/>
      <c r="T11" s="5"/>
      <c r="U11" s="5"/>
      <c r="V11" s="5"/>
      <c r="W11" s="5"/>
      <c r="X11" s="5"/>
      <c r="Y11" s="5"/>
      <c r="Z11" s="5"/>
      <c r="AA11" s="5"/>
    </row>
    <row r="12" spans="1:27" ht="30" customHeight="1">
      <c r="A12" s="92" t="s">
        <v>193</v>
      </c>
      <c r="B12" s="78"/>
      <c r="C12" s="78"/>
      <c r="D12" s="28"/>
      <c r="E12" s="28"/>
      <c r="F12" s="28"/>
      <c r="G12" s="28"/>
      <c r="H12" s="5"/>
      <c r="I12" s="28"/>
      <c r="J12" s="5"/>
      <c r="K12" s="5"/>
      <c r="L12" s="5"/>
      <c r="M12" s="5"/>
      <c r="N12" s="5"/>
      <c r="O12" s="5"/>
      <c r="P12" s="5"/>
      <c r="Q12" s="5"/>
      <c r="R12" s="5"/>
      <c r="S12" s="5"/>
      <c r="T12" s="5"/>
      <c r="U12" s="5"/>
      <c r="V12" s="5"/>
      <c r="W12" s="5"/>
      <c r="X12" s="5"/>
      <c r="Y12" s="5"/>
      <c r="Z12" s="5"/>
      <c r="AA12" s="5"/>
    </row>
    <row r="13" spans="1:27" ht="30" customHeight="1">
      <c r="A13" s="24"/>
      <c r="B13" s="28"/>
      <c r="C13" s="8"/>
      <c r="D13" s="28"/>
      <c r="E13" s="28"/>
      <c r="F13" s="28"/>
      <c r="G13" s="28"/>
      <c r="H13" s="5"/>
      <c r="I13" s="28"/>
      <c r="J13" s="5"/>
      <c r="K13" s="5"/>
      <c r="L13" s="5"/>
      <c r="M13" s="5"/>
      <c r="N13" s="5"/>
      <c r="O13" s="5"/>
      <c r="P13" s="5"/>
      <c r="Q13" s="5"/>
      <c r="R13" s="5"/>
      <c r="S13" s="5"/>
      <c r="T13" s="5"/>
      <c r="U13" s="5"/>
      <c r="V13" s="5"/>
      <c r="W13" s="5"/>
      <c r="X13" s="5"/>
      <c r="Y13" s="5"/>
      <c r="Z13" s="5"/>
      <c r="AA13" s="5"/>
    </row>
    <row r="14" spans="1:27" ht="30" customHeight="1">
      <c r="A14" s="24"/>
      <c r="B14" s="28"/>
      <c r="C14" s="8"/>
      <c r="D14" s="28"/>
      <c r="E14" s="28"/>
      <c r="F14" s="28"/>
      <c r="H14" s="5"/>
      <c r="I14" s="28"/>
      <c r="J14" s="5"/>
      <c r="K14" s="5"/>
      <c r="L14" s="5"/>
      <c r="M14" s="5"/>
      <c r="N14" s="5"/>
      <c r="O14" s="5"/>
      <c r="P14" s="5"/>
      <c r="Q14" s="5"/>
      <c r="R14" s="5"/>
      <c r="S14" s="5"/>
      <c r="T14" s="5"/>
      <c r="U14" s="5"/>
      <c r="V14" s="5"/>
      <c r="W14" s="5"/>
      <c r="X14" s="5"/>
      <c r="Y14" s="5"/>
      <c r="Z14" s="5"/>
      <c r="AA14" s="5"/>
    </row>
    <row r="15" spans="1:27" ht="30" customHeight="1">
      <c r="A15" s="93" t="s">
        <v>205</v>
      </c>
      <c r="B15" s="94"/>
      <c r="C15" s="95"/>
      <c r="D15" s="28"/>
      <c r="E15" s="28"/>
      <c r="F15" s="28"/>
      <c r="G15" s="28"/>
      <c r="H15" s="5"/>
      <c r="I15" s="28"/>
      <c r="J15" s="5"/>
      <c r="K15" s="5"/>
      <c r="L15" s="5"/>
      <c r="M15" s="5"/>
      <c r="N15" s="5"/>
      <c r="O15" s="5"/>
      <c r="P15" s="5"/>
      <c r="Q15" s="5"/>
      <c r="R15" s="5"/>
      <c r="S15" s="5"/>
      <c r="T15" s="5"/>
      <c r="U15" s="5"/>
      <c r="V15" s="5"/>
      <c r="W15" s="5"/>
      <c r="X15" s="5"/>
      <c r="Y15" s="5"/>
      <c r="Z15" s="5"/>
      <c r="AA15" s="5"/>
    </row>
    <row r="16" spans="1:27" ht="30" customHeight="1">
      <c r="A16" s="86" t="s">
        <v>215</v>
      </c>
      <c r="B16" s="83"/>
      <c r="C16" s="84"/>
      <c r="D16" s="39" t="s">
        <v>225</v>
      </c>
      <c r="E16" s="2"/>
      <c r="F16" s="28"/>
      <c r="G16" s="28"/>
      <c r="H16" s="5"/>
      <c r="I16" s="28"/>
      <c r="J16" s="5"/>
      <c r="K16" s="5"/>
      <c r="L16" s="5"/>
      <c r="M16" s="5"/>
      <c r="N16" s="5"/>
      <c r="O16" s="5"/>
      <c r="P16" s="5"/>
      <c r="Q16" s="5"/>
      <c r="R16" s="5"/>
      <c r="S16" s="5"/>
      <c r="T16" s="5"/>
      <c r="U16" s="5"/>
      <c r="V16" s="5"/>
      <c r="W16" s="5"/>
      <c r="X16" s="5"/>
      <c r="Y16" s="5"/>
      <c r="Z16" s="5"/>
      <c r="AA16" s="5"/>
    </row>
    <row r="17" spans="1:27" ht="30" customHeight="1">
      <c r="A17" s="86" t="s">
        <v>233</v>
      </c>
      <c r="B17" s="83"/>
      <c r="C17" s="84"/>
      <c r="D17" s="39"/>
      <c r="E17" s="28"/>
      <c r="F17" s="28"/>
      <c r="G17" s="28"/>
      <c r="H17" s="5"/>
      <c r="I17" s="28"/>
      <c r="J17" s="5"/>
      <c r="K17" s="5"/>
      <c r="L17" s="5"/>
      <c r="M17" s="5"/>
      <c r="N17" s="5"/>
      <c r="O17" s="5"/>
      <c r="P17" s="5"/>
      <c r="Q17" s="5"/>
      <c r="R17" s="5"/>
      <c r="S17" s="5"/>
      <c r="T17" s="5"/>
      <c r="U17" s="5"/>
      <c r="V17" s="5"/>
      <c r="W17" s="5"/>
      <c r="X17" s="5"/>
      <c r="Y17" s="5"/>
      <c r="Z17" s="5"/>
      <c r="AA17" s="5"/>
    </row>
    <row r="18" spans="1:27" ht="30" customHeight="1">
      <c r="A18" s="86" t="s">
        <v>242</v>
      </c>
      <c r="B18" s="83"/>
      <c r="C18" s="84"/>
      <c r="D18" s="39"/>
      <c r="E18" s="28"/>
      <c r="F18" s="28"/>
      <c r="G18" s="28"/>
      <c r="H18" s="5"/>
      <c r="I18" s="28"/>
      <c r="J18" s="5"/>
      <c r="K18" s="5"/>
      <c r="L18" s="5"/>
      <c r="M18" s="5"/>
      <c r="N18" s="5"/>
      <c r="O18" s="5"/>
      <c r="P18" s="5"/>
      <c r="Q18" s="5"/>
      <c r="R18" s="5"/>
      <c r="S18" s="5"/>
      <c r="T18" s="5"/>
      <c r="U18" s="5"/>
      <c r="V18" s="5"/>
      <c r="W18" s="5"/>
      <c r="X18" s="5"/>
      <c r="Y18" s="5"/>
      <c r="Z18" s="5"/>
      <c r="AA18" s="5"/>
    </row>
    <row r="19" spans="1:27" ht="30" customHeight="1">
      <c r="A19" s="86" t="s">
        <v>249</v>
      </c>
      <c r="B19" s="83"/>
      <c r="C19" s="84"/>
      <c r="D19" s="39"/>
      <c r="E19" s="28"/>
      <c r="F19" s="28"/>
      <c r="G19" s="28"/>
      <c r="H19" s="5"/>
      <c r="I19" s="28"/>
      <c r="J19" s="5"/>
      <c r="K19" s="5"/>
      <c r="L19" s="5"/>
      <c r="M19" s="5"/>
      <c r="N19" s="5"/>
      <c r="O19" s="5"/>
      <c r="P19" s="5"/>
      <c r="Q19" s="5"/>
      <c r="R19" s="5"/>
      <c r="S19" s="5"/>
      <c r="T19" s="5"/>
      <c r="U19" s="5"/>
      <c r="V19" s="5"/>
      <c r="W19" s="5"/>
      <c r="X19" s="5"/>
      <c r="Y19" s="5"/>
      <c r="Z19" s="5"/>
      <c r="AA19" s="5"/>
    </row>
    <row r="20" spans="1:27" ht="30" customHeight="1">
      <c r="A20" s="86" t="s">
        <v>254</v>
      </c>
      <c r="B20" s="83"/>
      <c r="C20" s="84"/>
      <c r="D20" s="39"/>
      <c r="E20" s="28"/>
      <c r="F20" s="28"/>
      <c r="G20" s="28"/>
      <c r="H20" s="5"/>
      <c r="I20" s="28"/>
      <c r="J20" s="5"/>
      <c r="K20" s="5"/>
      <c r="L20" s="5"/>
      <c r="M20" s="5"/>
      <c r="N20" s="5"/>
      <c r="O20" s="5"/>
      <c r="P20" s="5"/>
      <c r="Q20" s="5"/>
      <c r="R20" s="5"/>
      <c r="S20" s="5"/>
      <c r="T20" s="5"/>
      <c r="U20" s="5"/>
      <c r="V20" s="5"/>
      <c r="W20" s="5"/>
      <c r="X20" s="5"/>
      <c r="Y20" s="5"/>
      <c r="Z20" s="5"/>
      <c r="AA20" s="5"/>
    </row>
    <row r="21" spans="1:27" ht="30" customHeight="1">
      <c r="A21" s="86" t="s">
        <v>258</v>
      </c>
      <c r="B21" s="83"/>
      <c r="C21" s="84"/>
      <c r="D21" s="39"/>
      <c r="E21" s="28"/>
      <c r="F21" s="28"/>
      <c r="G21" s="28"/>
      <c r="H21" s="5"/>
      <c r="I21" s="28"/>
      <c r="J21" s="5"/>
      <c r="K21" s="5"/>
      <c r="L21" s="5"/>
      <c r="M21" s="5"/>
      <c r="N21" s="5"/>
      <c r="O21" s="5"/>
      <c r="P21" s="5"/>
      <c r="Q21" s="5"/>
      <c r="R21" s="5"/>
      <c r="S21" s="5"/>
      <c r="T21" s="5"/>
      <c r="U21" s="5"/>
      <c r="V21" s="5"/>
      <c r="W21" s="5"/>
      <c r="X21" s="5"/>
      <c r="Y21" s="5"/>
      <c r="Z21" s="5"/>
      <c r="AA21" s="5"/>
    </row>
    <row r="22" spans="1:27" ht="30" customHeight="1">
      <c r="A22" s="24"/>
      <c r="B22" s="28"/>
      <c r="C22" s="8"/>
      <c r="D22" s="28"/>
      <c r="E22" s="5"/>
      <c r="F22" s="28"/>
      <c r="G22" s="28"/>
      <c r="H22" s="5"/>
      <c r="I22" s="28"/>
      <c r="J22" s="5"/>
      <c r="K22" s="5"/>
      <c r="L22" s="5"/>
      <c r="M22" s="5"/>
      <c r="N22" s="5"/>
      <c r="O22" s="5"/>
      <c r="P22" s="5"/>
      <c r="Q22" s="5"/>
      <c r="R22" s="5"/>
      <c r="S22" s="5"/>
      <c r="T22" s="5"/>
      <c r="U22" s="5"/>
      <c r="V22" s="5"/>
      <c r="W22" s="5"/>
      <c r="X22" s="5"/>
      <c r="Y22" s="5"/>
      <c r="Z22" s="5"/>
      <c r="AA22" s="5"/>
    </row>
    <row r="23" spans="1:27" ht="30" customHeight="1">
      <c r="A23" s="28"/>
      <c r="B23" s="28"/>
      <c r="C23" s="5"/>
      <c r="D23" s="28"/>
      <c r="E23" s="5"/>
      <c r="F23" s="28"/>
      <c r="G23" s="5"/>
      <c r="H23" s="5"/>
      <c r="I23" s="28"/>
      <c r="J23" s="5"/>
      <c r="K23" s="5"/>
      <c r="L23" s="5"/>
      <c r="M23" s="5"/>
      <c r="N23" s="5"/>
      <c r="O23" s="5"/>
      <c r="P23" s="5"/>
      <c r="Q23" s="5"/>
      <c r="R23" s="5"/>
      <c r="S23" s="5"/>
      <c r="T23" s="5"/>
      <c r="U23" s="5"/>
      <c r="V23" s="5"/>
      <c r="W23" s="5"/>
      <c r="X23" s="5"/>
      <c r="Y23" s="5"/>
      <c r="Z23" s="5"/>
      <c r="AA23" s="5"/>
    </row>
    <row r="24" spans="1:27" ht="30" customHeight="1">
      <c r="A24" s="96" t="s">
        <v>273</v>
      </c>
      <c r="B24" s="83"/>
      <c r="C24" s="84"/>
      <c r="D24" s="28"/>
      <c r="E24" s="5"/>
      <c r="F24" s="28"/>
      <c r="G24" s="5"/>
      <c r="H24" s="5"/>
      <c r="I24" s="28"/>
      <c r="J24" s="5"/>
      <c r="K24" s="5"/>
      <c r="L24" s="5"/>
      <c r="M24" s="5"/>
      <c r="N24" s="5"/>
      <c r="O24" s="5"/>
      <c r="P24" s="5"/>
      <c r="Q24" s="5"/>
      <c r="R24" s="5"/>
      <c r="S24" s="5"/>
      <c r="T24" s="5"/>
      <c r="U24" s="5"/>
      <c r="V24" s="5"/>
      <c r="W24" s="5"/>
      <c r="X24" s="5"/>
      <c r="Y24" s="5"/>
      <c r="Z24" s="5"/>
      <c r="AA24" s="5"/>
    </row>
    <row r="25" spans="1:27" ht="30" customHeight="1">
      <c r="A25" s="86" t="s">
        <v>278</v>
      </c>
      <c r="B25" s="83"/>
      <c r="C25" s="83"/>
      <c r="D25" s="84"/>
      <c r="E25" s="97" t="s">
        <v>282</v>
      </c>
      <c r="F25" s="83"/>
      <c r="G25" s="83"/>
      <c r="H25" s="83"/>
      <c r="I25" s="83"/>
      <c r="J25" s="83"/>
      <c r="K25" s="83"/>
      <c r="L25" s="83"/>
      <c r="M25" s="83"/>
      <c r="N25" s="83"/>
      <c r="O25" s="83"/>
      <c r="P25" s="83"/>
      <c r="Q25" s="83"/>
      <c r="R25" s="83"/>
      <c r="S25" s="83"/>
      <c r="T25" s="83"/>
      <c r="U25" s="83"/>
      <c r="V25" s="83"/>
      <c r="W25" s="83"/>
      <c r="X25" s="83"/>
      <c r="Y25" s="83"/>
      <c r="Z25" s="83"/>
      <c r="AA25" s="84"/>
    </row>
    <row r="26" spans="1:27" ht="30" customHeight="1">
      <c r="A26" s="86" t="s">
        <v>290</v>
      </c>
      <c r="B26" s="83"/>
      <c r="C26" s="83"/>
      <c r="D26" s="84"/>
      <c r="E26" s="97" t="s">
        <v>297</v>
      </c>
      <c r="F26" s="83"/>
      <c r="G26" s="83"/>
      <c r="H26" s="83"/>
      <c r="I26" s="83"/>
      <c r="J26" s="83"/>
      <c r="K26" s="83"/>
      <c r="L26" s="83"/>
      <c r="M26" s="83"/>
      <c r="N26" s="83"/>
      <c r="O26" s="83"/>
      <c r="P26" s="83"/>
      <c r="Q26" s="83"/>
      <c r="R26" s="83"/>
      <c r="S26" s="83"/>
      <c r="T26" s="83"/>
      <c r="U26" s="83"/>
      <c r="V26" s="83"/>
      <c r="W26" s="83"/>
      <c r="X26" s="83"/>
      <c r="Y26" s="83"/>
      <c r="Z26" s="83"/>
      <c r="AA26" s="84"/>
    </row>
    <row r="27" spans="1:27" ht="30" customHeight="1">
      <c r="A27" s="86" t="s">
        <v>305</v>
      </c>
      <c r="B27" s="83"/>
      <c r="C27" s="83"/>
      <c r="D27" s="84"/>
      <c r="E27" s="98" t="s">
        <v>307</v>
      </c>
      <c r="F27" s="83"/>
      <c r="G27" s="83"/>
      <c r="H27" s="83"/>
      <c r="I27" s="83"/>
      <c r="J27" s="83"/>
      <c r="K27" s="83"/>
      <c r="L27" s="83"/>
      <c r="M27" s="83"/>
      <c r="N27" s="83"/>
      <c r="O27" s="83"/>
      <c r="P27" s="83"/>
      <c r="Q27" s="83"/>
      <c r="R27" s="83"/>
      <c r="S27" s="83"/>
      <c r="T27" s="83"/>
      <c r="U27" s="83"/>
      <c r="V27" s="83"/>
      <c r="W27" s="83"/>
      <c r="X27" s="83"/>
      <c r="Y27" s="83"/>
      <c r="Z27" s="83"/>
      <c r="AA27" s="84"/>
    </row>
    <row r="28" spans="1:27" ht="30" customHeight="1">
      <c r="A28" s="86" t="s">
        <v>119</v>
      </c>
      <c r="B28" s="83"/>
      <c r="C28" s="83"/>
      <c r="D28" s="84"/>
      <c r="E28" s="97" t="s">
        <v>317</v>
      </c>
      <c r="F28" s="83"/>
      <c r="G28" s="83"/>
      <c r="H28" s="83"/>
      <c r="I28" s="83"/>
      <c r="J28" s="83"/>
      <c r="K28" s="83"/>
      <c r="L28" s="83"/>
      <c r="M28" s="83"/>
      <c r="N28" s="83"/>
      <c r="O28" s="83"/>
      <c r="P28" s="83"/>
      <c r="Q28" s="83"/>
      <c r="R28" s="83"/>
      <c r="S28" s="83"/>
      <c r="T28" s="83"/>
      <c r="U28" s="83"/>
      <c r="V28" s="83"/>
      <c r="W28" s="83"/>
      <c r="X28" s="83"/>
      <c r="Y28" s="83"/>
      <c r="Z28" s="83"/>
      <c r="AA28" s="84"/>
    </row>
    <row r="29" spans="1:27" ht="30" customHeight="1">
      <c r="A29" s="86" t="s">
        <v>327</v>
      </c>
      <c r="B29" s="83"/>
      <c r="C29" s="83"/>
      <c r="D29" s="84"/>
      <c r="E29" s="98" t="s">
        <v>330</v>
      </c>
      <c r="F29" s="83"/>
      <c r="G29" s="83"/>
      <c r="H29" s="83"/>
      <c r="I29" s="83"/>
      <c r="J29" s="83"/>
      <c r="K29" s="83"/>
      <c r="L29" s="83"/>
      <c r="M29" s="83"/>
      <c r="N29" s="83"/>
      <c r="O29" s="83"/>
      <c r="P29" s="83"/>
      <c r="Q29" s="83"/>
      <c r="R29" s="83"/>
      <c r="S29" s="83"/>
      <c r="T29" s="83"/>
      <c r="U29" s="83"/>
      <c r="V29" s="83"/>
      <c r="W29" s="83"/>
      <c r="X29" s="83"/>
      <c r="Y29" s="83"/>
      <c r="Z29" s="83"/>
      <c r="AA29" s="84"/>
    </row>
    <row r="30" spans="1:27" ht="30" customHeight="1">
      <c r="A30" s="24"/>
      <c r="B30" s="24"/>
      <c r="C30" s="24"/>
      <c r="D30" s="24"/>
      <c r="E30" s="28"/>
      <c r="F30" s="28"/>
      <c r="G30" s="28"/>
      <c r="H30" s="28"/>
      <c r="I30" s="28"/>
      <c r="J30" s="28"/>
      <c r="K30" s="28"/>
      <c r="L30" s="28"/>
      <c r="M30" s="28"/>
      <c r="N30" s="28"/>
      <c r="O30" s="28"/>
      <c r="P30" s="28"/>
      <c r="Q30" s="28"/>
      <c r="R30" s="28"/>
      <c r="S30" s="28"/>
      <c r="T30" s="28"/>
      <c r="U30" s="28"/>
      <c r="V30" s="28"/>
      <c r="W30" s="28"/>
      <c r="X30" s="28"/>
      <c r="Y30" s="28"/>
      <c r="Z30" s="28"/>
      <c r="AA30" s="28"/>
    </row>
    <row r="31" spans="1:27" ht="30" customHeight="1">
      <c r="A31" s="5"/>
      <c r="B31" s="5"/>
      <c r="C31" s="5"/>
      <c r="D31" s="5"/>
      <c r="E31" s="5"/>
      <c r="F31" s="5"/>
      <c r="G31" s="5"/>
      <c r="H31" s="5"/>
      <c r="I31" s="5"/>
      <c r="J31" s="8"/>
      <c r="K31" s="5"/>
      <c r="L31" s="5"/>
      <c r="M31" s="5"/>
      <c r="N31" s="5"/>
      <c r="O31" s="5"/>
      <c r="P31" s="5"/>
      <c r="Q31" s="5"/>
      <c r="R31" s="5"/>
      <c r="S31" s="5"/>
      <c r="T31" s="5"/>
      <c r="U31" s="5"/>
      <c r="V31" s="5"/>
      <c r="W31" s="5"/>
      <c r="X31" s="5"/>
      <c r="Y31" s="5"/>
      <c r="Z31" s="5"/>
      <c r="AA31" s="5"/>
    </row>
    <row r="32" spans="1:27" ht="30" customHeight="1">
      <c r="A32" s="96" t="s">
        <v>340</v>
      </c>
      <c r="B32" s="83"/>
      <c r="C32" s="84"/>
      <c r="D32" s="28"/>
      <c r="E32" s="5"/>
      <c r="F32" s="28"/>
      <c r="G32" s="5"/>
      <c r="H32" s="5"/>
      <c r="I32" s="28"/>
      <c r="J32" s="5"/>
      <c r="K32" s="5"/>
      <c r="L32" s="5"/>
      <c r="M32" s="5"/>
      <c r="N32" s="5"/>
      <c r="O32" s="5"/>
      <c r="P32" s="5"/>
      <c r="Q32" s="5"/>
      <c r="R32" s="5"/>
      <c r="S32" s="5"/>
      <c r="T32" s="5"/>
      <c r="U32" s="5"/>
      <c r="V32" s="5"/>
      <c r="W32" s="5"/>
      <c r="X32" s="5"/>
      <c r="Y32" s="5"/>
      <c r="Z32" s="5"/>
      <c r="AA32" s="5"/>
    </row>
    <row r="33" spans="1:27" ht="30" customHeight="1">
      <c r="A33" s="86" t="s">
        <v>342</v>
      </c>
      <c r="B33" s="83"/>
      <c r="C33" s="83"/>
      <c r="D33" s="84"/>
      <c r="E33" s="98" t="s">
        <v>344</v>
      </c>
      <c r="F33" s="83"/>
      <c r="G33" s="83"/>
      <c r="H33" s="83"/>
      <c r="I33" s="83"/>
      <c r="J33" s="83"/>
      <c r="K33" s="83"/>
      <c r="L33" s="83"/>
      <c r="M33" s="83"/>
      <c r="N33" s="83"/>
      <c r="O33" s="83"/>
      <c r="P33" s="83"/>
      <c r="Q33" s="83"/>
      <c r="R33" s="83"/>
      <c r="S33" s="83"/>
      <c r="T33" s="83"/>
      <c r="U33" s="83"/>
      <c r="V33" s="83"/>
      <c r="W33" s="83"/>
      <c r="X33" s="83"/>
      <c r="Y33" s="83"/>
      <c r="Z33" s="83"/>
      <c r="AA33" s="84"/>
    </row>
    <row r="34" spans="1:27" ht="30" customHeight="1">
      <c r="A34" s="86" t="s">
        <v>352</v>
      </c>
      <c r="B34" s="83"/>
      <c r="C34" s="83"/>
      <c r="D34" s="84"/>
      <c r="E34" s="98" t="s">
        <v>70</v>
      </c>
      <c r="F34" s="83"/>
      <c r="G34" s="83"/>
      <c r="H34" s="83"/>
      <c r="I34" s="83"/>
      <c r="J34" s="83"/>
      <c r="K34" s="83"/>
      <c r="L34" s="83"/>
      <c r="M34" s="83"/>
      <c r="N34" s="83"/>
      <c r="O34" s="83"/>
      <c r="P34" s="83"/>
      <c r="Q34" s="83"/>
      <c r="R34" s="83"/>
      <c r="S34" s="83"/>
      <c r="T34" s="83"/>
      <c r="U34" s="83"/>
      <c r="V34" s="83"/>
      <c r="W34" s="83"/>
      <c r="X34" s="83"/>
      <c r="Y34" s="83"/>
      <c r="Z34" s="83"/>
      <c r="AA34" s="84"/>
    </row>
    <row r="35" spans="1:27" ht="30" customHeight="1">
      <c r="A35" s="86" t="s">
        <v>365</v>
      </c>
      <c r="B35" s="83"/>
      <c r="C35" s="83"/>
      <c r="D35" s="84"/>
      <c r="E35" s="113" t="s">
        <v>369</v>
      </c>
      <c r="F35" s="83"/>
      <c r="G35" s="83"/>
      <c r="H35" s="83"/>
      <c r="I35" s="83"/>
      <c r="J35" s="83"/>
      <c r="K35" s="83"/>
      <c r="L35" s="83"/>
      <c r="M35" s="83"/>
      <c r="N35" s="83"/>
      <c r="O35" s="83"/>
      <c r="P35" s="83"/>
      <c r="Q35" s="83"/>
      <c r="R35" s="83"/>
      <c r="S35" s="83"/>
      <c r="T35" s="83"/>
      <c r="U35" s="83"/>
      <c r="V35" s="83"/>
      <c r="W35" s="83"/>
      <c r="X35" s="83"/>
      <c r="Y35" s="83"/>
      <c r="Z35" s="83"/>
      <c r="AA35" s="84"/>
    </row>
    <row r="36" spans="1:27" ht="17.399999999999999">
      <c r="A36" s="86" t="s">
        <v>382</v>
      </c>
      <c r="B36" s="83"/>
      <c r="C36" s="83"/>
      <c r="D36" s="84"/>
      <c r="E36" s="114" t="s">
        <v>385</v>
      </c>
      <c r="F36" s="83"/>
      <c r="G36" s="83"/>
      <c r="H36" s="83"/>
      <c r="I36" s="83"/>
      <c r="J36" s="83"/>
      <c r="K36" s="83"/>
      <c r="L36" s="83"/>
      <c r="M36" s="83"/>
      <c r="N36" s="83"/>
      <c r="O36" s="83"/>
      <c r="P36" s="83"/>
      <c r="Q36" s="83"/>
      <c r="R36" s="83"/>
      <c r="S36" s="83"/>
      <c r="T36" s="83"/>
      <c r="U36" s="83"/>
      <c r="V36" s="83"/>
      <c r="W36" s="83"/>
      <c r="X36" s="83"/>
      <c r="Y36" s="83"/>
      <c r="Z36" s="83"/>
      <c r="AA36" s="84"/>
    </row>
    <row r="37" spans="1:27" ht="15.75" customHeight="1">
      <c r="A37" s="28"/>
      <c r="B37" s="28"/>
      <c r="C37" s="28"/>
      <c r="D37" s="43"/>
      <c r="E37" s="43"/>
      <c r="F37" s="43"/>
      <c r="G37" s="43"/>
      <c r="H37" s="43"/>
      <c r="I37" s="43"/>
      <c r="J37" s="43"/>
      <c r="K37" s="43"/>
      <c r="L37" s="43"/>
      <c r="M37" s="43"/>
      <c r="N37" s="43"/>
      <c r="O37" s="43"/>
      <c r="P37" s="43"/>
      <c r="Q37" s="43"/>
      <c r="R37" s="43"/>
      <c r="S37" s="43"/>
      <c r="T37" s="43"/>
      <c r="U37" s="43"/>
      <c r="V37" s="43"/>
      <c r="W37" s="43"/>
      <c r="X37" s="43"/>
      <c r="Y37" s="43"/>
      <c r="Z37" s="43"/>
      <c r="AA37" s="43"/>
    </row>
    <row r="38" spans="1:27" ht="15.75" customHeight="1">
      <c r="A38" s="28"/>
      <c r="B38" s="28"/>
      <c r="C38" s="28"/>
      <c r="D38" s="43"/>
      <c r="E38" s="43"/>
      <c r="F38" s="43"/>
      <c r="G38" s="43"/>
      <c r="H38" s="43"/>
      <c r="I38" s="43"/>
      <c r="J38" s="43"/>
      <c r="K38" s="43"/>
      <c r="L38" s="43"/>
      <c r="M38" s="43"/>
      <c r="N38" s="43"/>
      <c r="O38" s="43"/>
      <c r="P38" s="43"/>
      <c r="Q38" s="43"/>
      <c r="R38" s="43"/>
      <c r="S38" s="43"/>
      <c r="T38" s="43"/>
      <c r="U38" s="43"/>
      <c r="V38" s="43"/>
      <c r="W38" s="43"/>
      <c r="X38" s="43"/>
      <c r="Y38" s="43"/>
      <c r="Z38" s="43"/>
      <c r="AA38" s="43"/>
    </row>
    <row r="39" spans="1:27" ht="15.75" customHeight="1">
      <c r="A39" s="5"/>
      <c r="B39" s="5"/>
      <c r="C39" s="45"/>
      <c r="D39" s="28"/>
      <c r="E39" s="46"/>
      <c r="F39" s="8"/>
      <c r="G39" s="5"/>
      <c r="H39" s="8"/>
      <c r="I39" s="5"/>
      <c r="J39" s="8"/>
      <c r="K39" s="5"/>
      <c r="L39" s="5"/>
      <c r="M39" s="5"/>
      <c r="N39" s="5"/>
      <c r="O39" s="5"/>
      <c r="P39" s="5"/>
      <c r="Q39" s="5"/>
      <c r="R39" s="5"/>
      <c r="S39" s="5"/>
      <c r="T39" s="5"/>
      <c r="U39" s="5"/>
      <c r="V39" s="5"/>
      <c r="W39" s="5"/>
      <c r="X39" s="5"/>
      <c r="Y39" s="5"/>
      <c r="Z39" s="5"/>
      <c r="AA39" s="5"/>
    </row>
    <row r="40" spans="1:27" ht="50.25" customHeight="1">
      <c r="A40" s="47" t="s">
        <v>417</v>
      </c>
      <c r="B40" s="48"/>
      <c r="C40" s="48"/>
      <c r="D40" s="48"/>
      <c r="E40" s="49"/>
      <c r="F40" s="50"/>
      <c r="G40" s="115" t="s">
        <v>427</v>
      </c>
      <c r="H40" s="116"/>
      <c r="I40" s="116"/>
      <c r="J40" s="116"/>
      <c r="K40" s="116"/>
      <c r="L40" s="116"/>
      <c r="M40" s="116"/>
      <c r="N40" s="116"/>
      <c r="O40" s="116"/>
      <c r="P40" s="116"/>
      <c r="Q40" s="116"/>
      <c r="R40" s="116"/>
      <c r="S40" s="116"/>
      <c r="T40" s="116"/>
      <c r="U40" s="116"/>
      <c r="V40" s="116"/>
      <c r="W40" s="117"/>
      <c r="X40" s="118" t="s">
        <v>442</v>
      </c>
      <c r="Y40" s="116"/>
      <c r="Z40" s="116"/>
      <c r="AA40" s="117"/>
    </row>
    <row r="41" spans="1:27" ht="84.75" customHeight="1">
      <c r="A41" s="99" t="s">
        <v>453</v>
      </c>
      <c r="B41" s="100"/>
      <c r="C41" s="100"/>
      <c r="D41" s="52"/>
      <c r="E41" s="54"/>
      <c r="F41" s="55"/>
      <c r="G41" s="56" t="s">
        <v>460</v>
      </c>
      <c r="H41" s="119" t="s">
        <v>464</v>
      </c>
      <c r="I41" s="84"/>
      <c r="J41" s="101" t="s">
        <v>467</v>
      </c>
      <c r="K41" s="84"/>
      <c r="L41" s="101"/>
      <c r="M41" s="84"/>
      <c r="N41" s="101"/>
      <c r="O41" s="84"/>
      <c r="P41" s="101"/>
      <c r="Q41" s="84"/>
      <c r="R41" s="101"/>
      <c r="S41" s="84"/>
      <c r="T41" s="101"/>
      <c r="U41" s="84"/>
      <c r="V41" s="112"/>
      <c r="W41" s="103"/>
      <c r="X41" s="112" t="s">
        <v>481</v>
      </c>
      <c r="Y41" s="83"/>
      <c r="Z41" s="83"/>
      <c r="AA41" s="103"/>
    </row>
    <row r="42" spans="1:27" ht="22.5" customHeight="1">
      <c r="A42" s="57" t="s">
        <v>484</v>
      </c>
      <c r="B42" s="58"/>
      <c r="C42" s="58"/>
      <c r="D42" s="59"/>
      <c r="E42" s="59"/>
      <c r="F42" s="60"/>
      <c r="G42" s="126" t="s">
        <v>492</v>
      </c>
      <c r="H42" s="125" t="s">
        <v>498</v>
      </c>
      <c r="I42" s="121"/>
      <c r="J42" s="125" t="str">
        <f>A43</f>
        <v>Wesley Floricourt</v>
      </c>
      <c r="K42" s="121"/>
      <c r="L42" s="125"/>
      <c r="M42" s="121"/>
      <c r="N42" s="125"/>
      <c r="O42" s="121"/>
      <c r="P42" s="120"/>
      <c r="Q42" s="121"/>
      <c r="R42" s="120"/>
      <c r="S42" s="121"/>
      <c r="T42" s="122"/>
      <c r="U42" s="121"/>
      <c r="V42" s="122"/>
      <c r="W42" s="123"/>
      <c r="X42" s="125" t="s">
        <v>524</v>
      </c>
      <c r="Y42" s="78"/>
      <c r="Z42" s="78"/>
      <c r="AA42" s="123"/>
    </row>
    <row r="43" spans="1:27" ht="15.75" customHeight="1">
      <c r="A43" s="129" t="str">
        <f>E29</f>
        <v>Wesley Floricourt</v>
      </c>
      <c r="B43" s="78"/>
      <c r="C43" s="78"/>
      <c r="D43" s="78"/>
      <c r="E43" s="78"/>
      <c r="F43" s="121"/>
      <c r="G43" s="127"/>
      <c r="H43" s="78"/>
      <c r="I43" s="121"/>
      <c r="J43" s="78"/>
      <c r="K43" s="121"/>
      <c r="L43" s="78"/>
      <c r="M43" s="121"/>
      <c r="N43" s="78"/>
      <c r="O43" s="121"/>
      <c r="P43" s="78"/>
      <c r="Q43" s="121"/>
      <c r="R43" s="78"/>
      <c r="S43" s="121"/>
      <c r="T43" s="78"/>
      <c r="U43" s="121"/>
      <c r="V43" s="78"/>
      <c r="W43" s="123"/>
      <c r="X43" s="78"/>
      <c r="Y43" s="78"/>
      <c r="Z43" s="78"/>
      <c r="AA43" s="123"/>
    </row>
    <row r="44" spans="1:27" ht="15" customHeight="1">
      <c r="A44" s="78"/>
      <c r="B44" s="78"/>
      <c r="C44" s="78"/>
      <c r="D44" s="78"/>
      <c r="E44" s="78"/>
      <c r="F44" s="121"/>
      <c r="G44" s="127"/>
      <c r="H44" s="78"/>
      <c r="I44" s="121"/>
      <c r="J44" s="78"/>
      <c r="K44" s="121"/>
      <c r="L44" s="78"/>
      <c r="M44" s="121"/>
      <c r="N44" s="78"/>
      <c r="O44" s="121"/>
      <c r="P44" s="78"/>
      <c r="Q44" s="121"/>
      <c r="R44" s="78"/>
      <c r="S44" s="121"/>
      <c r="T44" s="78"/>
      <c r="U44" s="121"/>
      <c r="V44" s="78"/>
      <c r="W44" s="123"/>
      <c r="X44" s="78"/>
      <c r="Y44" s="78"/>
      <c r="Z44" s="78"/>
      <c r="AA44" s="123"/>
    </row>
    <row r="45" spans="1:27" ht="15" customHeight="1">
      <c r="A45" s="89"/>
      <c r="B45" s="89"/>
      <c r="C45" s="89"/>
      <c r="D45" s="89"/>
      <c r="E45" s="89"/>
      <c r="F45" s="90"/>
      <c r="G45" s="128"/>
      <c r="H45" s="78"/>
      <c r="I45" s="121"/>
      <c r="J45" s="78"/>
      <c r="K45" s="121"/>
      <c r="L45" s="78"/>
      <c r="M45" s="121"/>
      <c r="N45" s="78"/>
      <c r="O45" s="121"/>
      <c r="P45" s="78"/>
      <c r="Q45" s="121"/>
      <c r="R45" s="78"/>
      <c r="S45" s="121"/>
      <c r="T45" s="78"/>
      <c r="U45" s="121"/>
      <c r="V45" s="78"/>
      <c r="W45" s="123"/>
      <c r="X45" s="78"/>
      <c r="Y45" s="78"/>
      <c r="Z45" s="78"/>
      <c r="AA45" s="123"/>
    </row>
    <row r="46" spans="1:27" ht="21.75" customHeight="1">
      <c r="A46" s="130" t="s">
        <v>535</v>
      </c>
      <c r="B46" s="90"/>
      <c r="C46" s="131" t="s">
        <v>2</v>
      </c>
      <c r="D46" s="134" t="s">
        <v>536</v>
      </c>
      <c r="E46" s="78"/>
      <c r="F46" s="78"/>
      <c r="G46" s="121"/>
      <c r="H46" s="78"/>
      <c r="I46" s="121"/>
      <c r="J46" s="78"/>
      <c r="K46" s="121"/>
      <c r="L46" s="78"/>
      <c r="M46" s="121"/>
      <c r="N46" s="78"/>
      <c r="O46" s="121"/>
      <c r="P46" s="78"/>
      <c r="Q46" s="121"/>
      <c r="R46" s="78"/>
      <c r="S46" s="121"/>
      <c r="T46" s="78"/>
      <c r="U46" s="121"/>
      <c r="V46" s="78"/>
      <c r="W46" s="123"/>
      <c r="X46" s="78"/>
      <c r="Y46" s="78"/>
      <c r="Z46" s="78"/>
      <c r="AA46" s="123"/>
    </row>
    <row r="47" spans="1:27" ht="15.75" customHeight="1">
      <c r="A47" s="137" t="s">
        <v>537</v>
      </c>
      <c r="B47" s="139" t="s">
        <v>538</v>
      </c>
      <c r="C47" s="132"/>
      <c r="D47" s="135"/>
      <c r="E47" s="78"/>
      <c r="F47" s="78"/>
      <c r="G47" s="121"/>
      <c r="H47" s="78"/>
      <c r="I47" s="121"/>
      <c r="J47" s="78"/>
      <c r="K47" s="121"/>
      <c r="L47" s="78"/>
      <c r="M47" s="121"/>
      <c r="N47" s="78"/>
      <c r="O47" s="121"/>
      <c r="P47" s="78"/>
      <c r="Q47" s="121"/>
      <c r="R47" s="78"/>
      <c r="S47" s="121"/>
      <c r="T47" s="78"/>
      <c r="U47" s="121"/>
      <c r="V47" s="78"/>
      <c r="W47" s="123"/>
      <c r="X47" s="78"/>
      <c r="Y47" s="78"/>
      <c r="Z47" s="78"/>
      <c r="AA47" s="123"/>
    </row>
    <row r="48" spans="1:27" ht="68.25" customHeight="1">
      <c r="A48" s="138"/>
      <c r="B48" s="128"/>
      <c r="C48" s="133"/>
      <c r="D48" s="136"/>
      <c r="E48" s="89"/>
      <c r="F48" s="89"/>
      <c r="G48" s="90"/>
      <c r="H48" s="89"/>
      <c r="I48" s="90"/>
      <c r="J48" s="89"/>
      <c r="K48" s="90"/>
      <c r="L48" s="89"/>
      <c r="M48" s="90"/>
      <c r="N48" s="89"/>
      <c r="O48" s="90"/>
      <c r="P48" s="89"/>
      <c r="Q48" s="90"/>
      <c r="R48" s="89"/>
      <c r="S48" s="90"/>
      <c r="T48" s="89"/>
      <c r="U48" s="90"/>
      <c r="V48" s="89"/>
      <c r="W48" s="124"/>
      <c r="X48" s="89"/>
      <c r="Y48" s="89"/>
      <c r="Z48" s="89"/>
      <c r="AA48" s="124"/>
    </row>
    <row r="49" spans="1:27" ht="31.5" customHeight="1">
      <c r="A49" s="64">
        <v>46258</v>
      </c>
      <c r="B49" s="65">
        <v>46258</v>
      </c>
      <c r="C49" s="66" t="s">
        <v>53</v>
      </c>
      <c r="D49" s="105" t="s">
        <v>539</v>
      </c>
      <c r="E49" s="83"/>
      <c r="F49" s="83"/>
      <c r="G49" s="84"/>
      <c r="H49" s="102" t="s">
        <v>540</v>
      </c>
      <c r="I49" s="84"/>
      <c r="J49" s="102" t="s">
        <v>540</v>
      </c>
      <c r="K49" s="84"/>
      <c r="L49" s="102"/>
      <c r="M49" s="84"/>
      <c r="N49" s="102"/>
      <c r="O49" s="84"/>
      <c r="P49" s="102"/>
      <c r="Q49" s="84"/>
      <c r="R49" s="102"/>
      <c r="S49" s="84"/>
      <c r="T49" s="102"/>
      <c r="U49" s="84"/>
      <c r="V49" s="102"/>
      <c r="W49" s="103"/>
      <c r="X49" s="104"/>
      <c r="Y49" s="83"/>
      <c r="Z49" s="83"/>
      <c r="AA49" s="103"/>
    </row>
    <row r="50" spans="1:27" ht="31.5" customHeight="1">
      <c r="A50" s="67"/>
      <c r="B50" s="68"/>
      <c r="C50" s="66"/>
      <c r="D50" s="105"/>
      <c r="E50" s="83"/>
      <c r="F50" s="83"/>
      <c r="G50" s="84"/>
      <c r="H50" s="102"/>
      <c r="I50" s="84"/>
      <c r="J50" s="102"/>
      <c r="K50" s="84"/>
      <c r="L50" s="102"/>
      <c r="M50" s="84"/>
      <c r="N50" s="102"/>
      <c r="O50" s="84"/>
      <c r="P50" s="102"/>
      <c r="Q50" s="84"/>
      <c r="R50" s="102"/>
      <c r="S50" s="84"/>
      <c r="T50" s="102"/>
      <c r="U50" s="84"/>
      <c r="V50" s="102"/>
      <c r="W50" s="103"/>
      <c r="X50" s="104"/>
      <c r="Y50" s="83"/>
      <c r="Z50" s="83"/>
      <c r="AA50" s="103"/>
    </row>
    <row r="51" spans="1:27" ht="31.5" customHeight="1">
      <c r="A51" s="67"/>
      <c r="B51" s="68"/>
      <c r="C51" s="66"/>
      <c r="D51" s="105"/>
      <c r="E51" s="83"/>
      <c r="F51" s="83"/>
      <c r="G51" s="84"/>
      <c r="H51" s="102"/>
      <c r="I51" s="84"/>
      <c r="J51" s="102"/>
      <c r="K51" s="84"/>
      <c r="L51" s="102"/>
      <c r="M51" s="84"/>
      <c r="N51" s="102"/>
      <c r="O51" s="84"/>
      <c r="P51" s="102"/>
      <c r="Q51" s="84"/>
      <c r="R51" s="102"/>
      <c r="S51" s="84"/>
      <c r="T51" s="102"/>
      <c r="U51" s="84"/>
      <c r="V51" s="102"/>
      <c r="W51" s="103"/>
      <c r="X51" s="104"/>
      <c r="Y51" s="83"/>
      <c r="Z51" s="83"/>
      <c r="AA51" s="103"/>
    </row>
    <row r="52" spans="1:27" ht="31.5" customHeight="1">
      <c r="A52" s="69"/>
      <c r="B52" s="70"/>
      <c r="C52" s="71"/>
      <c r="D52" s="111"/>
      <c r="E52" s="110"/>
      <c r="F52" s="110"/>
      <c r="G52" s="107"/>
      <c r="H52" s="106"/>
      <c r="I52" s="107"/>
      <c r="J52" s="106"/>
      <c r="K52" s="107"/>
      <c r="L52" s="106"/>
      <c r="M52" s="107"/>
      <c r="N52" s="106"/>
      <c r="O52" s="107"/>
      <c r="P52" s="106"/>
      <c r="Q52" s="107"/>
      <c r="R52" s="106"/>
      <c r="S52" s="107"/>
      <c r="T52" s="106"/>
      <c r="U52" s="107"/>
      <c r="V52" s="106"/>
      <c r="W52" s="108"/>
      <c r="X52" s="109"/>
      <c r="Y52" s="110"/>
      <c r="Z52" s="110"/>
      <c r="AA52" s="108"/>
    </row>
    <row r="53" spans="1:27" ht="21" customHeight="1">
      <c r="A53" s="72"/>
      <c r="B53" s="72"/>
      <c r="C53" s="73"/>
      <c r="D53" s="74"/>
      <c r="E53" s="74"/>
      <c r="F53" s="74"/>
      <c r="G53" s="74"/>
      <c r="H53" s="61"/>
      <c r="I53" s="61"/>
      <c r="J53" s="61"/>
      <c r="K53" s="61"/>
      <c r="L53" s="61"/>
      <c r="M53" s="61"/>
      <c r="N53" s="61"/>
      <c r="O53" s="61"/>
      <c r="P53" s="61"/>
      <c r="Q53" s="61"/>
      <c r="R53" s="61"/>
      <c r="S53" s="61"/>
      <c r="T53" s="61"/>
      <c r="U53" s="61"/>
      <c r="V53" s="61"/>
      <c r="W53" s="61"/>
      <c r="X53" s="61"/>
      <c r="Y53" s="61"/>
      <c r="Z53" s="61"/>
      <c r="AA53" s="61"/>
    </row>
  </sheetData>
  <mergeCells count="108">
    <mergeCell ref="A43:F45"/>
    <mergeCell ref="A46:B46"/>
    <mergeCell ref="C46:C48"/>
    <mergeCell ref="D46:G48"/>
    <mergeCell ref="A47:A48"/>
    <mergeCell ref="B47:B48"/>
    <mergeCell ref="D49:G49"/>
    <mergeCell ref="V49:W49"/>
    <mergeCell ref="X49:AA49"/>
    <mergeCell ref="H49:I49"/>
    <mergeCell ref="J49:K49"/>
    <mergeCell ref="L49:M49"/>
    <mergeCell ref="N49:O49"/>
    <mergeCell ref="P49:Q49"/>
    <mergeCell ref="R49:S49"/>
    <mergeCell ref="T49:U49"/>
    <mergeCell ref="P42:Q48"/>
    <mergeCell ref="R42:S48"/>
    <mergeCell ref="T42:U48"/>
    <mergeCell ref="V42:W48"/>
    <mergeCell ref="X42:AA48"/>
    <mergeCell ref="P41:Q41"/>
    <mergeCell ref="R41:S41"/>
    <mergeCell ref="G42:G45"/>
    <mergeCell ref="H42:I48"/>
    <mergeCell ref="J42:K48"/>
    <mergeCell ref="L42:M48"/>
    <mergeCell ref="N42:O48"/>
    <mergeCell ref="T52:U52"/>
    <mergeCell ref="V52:W52"/>
    <mergeCell ref="X52:AA52"/>
    <mergeCell ref="D52:G52"/>
    <mergeCell ref="H52:I52"/>
    <mergeCell ref="J52:K52"/>
    <mergeCell ref="L52:M52"/>
    <mergeCell ref="N52:O52"/>
    <mergeCell ref="P52:Q52"/>
    <mergeCell ref="R52:S52"/>
    <mergeCell ref="R51:S51"/>
    <mergeCell ref="T51:U51"/>
    <mergeCell ref="V51:W51"/>
    <mergeCell ref="X51:AA51"/>
    <mergeCell ref="D50:G50"/>
    <mergeCell ref="D51:G51"/>
    <mergeCell ref="H51:I51"/>
    <mergeCell ref="J51:K51"/>
    <mergeCell ref="L51:M51"/>
    <mergeCell ref="N51:O51"/>
    <mergeCell ref="P51:Q51"/>
    <mergeCell ref="V50:W50"/>
    <mergeCell ref="X50:AA50"/>
    <mergeCell ref="H50:I50"/>
    <mergeCell ref="J50:K50"/>
    <mergeCell ref="L50:M50"/>
    <mergeCell ref="N50:O50"/>
    <mergeCell ref="P50:Q50"/>
    <mergeCell ref="R50:S50"/>
    <mergeCell ref="T50:U50"/>
    <mergeCell ref="E33:AA33"/>
    <mergeCell ref="A35:D35"/>
    <mergeCell ref="A36:D36"/>
    <mergeCell ref="A41:C41"/>
    <mergeCell ref="A26:D26"/>
    <mergeCell ref="A27:D27"/>
    <mergeCell ref="A28:D28"/>
    <mergeCell ref="A29:D29"/>
    <mergeCell ref="A32:C32"/>
    <mergeCell ref="A33:D33"/>
    <mergeCell ref="A34:D34"/>
    <mergeCell ref="L41:M41"/>
    <mergeCell ref="N41:O41"/>
    <mergeCell ref="T41:U41"/>
    <mergeCell ref="V41:W41"/>
    <mergeCell ref="E34:AA34"/>
    <mergeCell ref="E35:AA35"/>
    <mergeCell ref="E36:AA36"/>
    <mergeCell ref="G40:W40"/>
    <mergeCell ref="X40:AA40"/>
    <mergeCell ref="H41:I41"/>
    <mergeCell ref="J41:K41"/>
    <mergeCell ref="X41:AA41"/>
    <mergeCell ref="A20:C20"/>
    <mergeCell ref="A21:C21"/>
    <mergeCell ref="A24:C24"/>
    <mergeCell ref="A25:D25"/>
    <mergeCell ref="E25:AA25"/>
    <mergeCell ref="E26:AA26"/>
    <mergeCell ref="E27:AA27"/>
    <mergeCell ref="E28:AA28"/>
    <mergeCell ref="E29:AA29"/>
    <mergeCell ref="A8:D8"/>
    <mergeCell ref="E8:AA8"/>
    <mergeCell ref="A10:C10"/>
    <mergeCell ref="A12:C12"/>
    <mergeCell ref="A15:C15"/>
    <mergeCell ref="A16:C16"/>
    <mergeCell ref="A17:C17"/>
    <mergeCell ref="A18:C18"/>
    <mergeCell ref="A19:C19"/>
    <mergeCell ref="A1:AA1"/>
    <mergeCell ref="C2:D2"/>
    <mergeCell ref="A4:C4"/>
    <mergeCell ref="A5:D5"/>
    <mergeCell ref="E5:AA5"/>
    <mergeCell ref="A6:D6"/>
    <mergeCell ref="E6:AA6"/>
    <mergeCell ref="A7:D7"/>
    <mergeCell ref="E7:AA7"/>
  </mergeCells>
  <dataValidations count="1">
    <dataValidation type="list" allowBlank="1" showErrorMessage="1" sqref="A12" xr:uid="{00000000-0002-0000-0000-000000000000}">
      <formula1>"Development / Level 1,Pre-Serial / Level 2,Serial CP / Level 3"</formula1>
    </dataValidation>
  </dataValidations>
  <printOptions horizontalCentered="1"/>
  <pageMargins left="0.7" right="0.7" top="0.75" bottom="0.75" header="0" footer="0"/>
  <pageSetup orientation="portrait" r:id="rId1"/>
  <headerFooter>
    <oddHeader>&amp;L&amp;F&amp;R&amp;D</oddHeader>
    <oddFooter>&amp;L© AIRBUS S.A.S. ALL RIGHTS RESERVED. CONFIDENTIAL AND PROPRIETARY DOCUMENT._x000D_&amp;1#&amp;"Aptos"&amp;10&amp;K000000 Sensitivity: C1-Internal&amp;CControl Plan Template - Ref. FM1101636 - Issue 2&amp;RPage I.&amp;P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997"/>
  <sheetViews>
    <sheetView workbookViewId="0"/>
  </sheetViews>
  <sheetFormatPr defaultColWidth="14.44140625" defaultRowHeight="15" customHeight="1"/>
  <cols>
    <col min="4" max="4" width="38.5546875" customWidth="1"/>
    <col min="5" max="5" width="20" customWidth="1"/>
    <col min="6" max="6" width="19.6640625" customWidth="1"/>
    <col min="7" max="7" width="41.44140625" customWidth="1"/>
    <col min="8" max="8" width="19.5546875" customWidth="1"/>
    <col min="13" max="13" width="25.33203125" customWidth="1"/>
    <col min="26" max="26" width="27" customWidth="1"/>
  </cols>
  <sheetData>
    <row r="1" spans="1:33" ht="13.8">
      <c r="A1" s="142" t="s">
        <v>1</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2"/>
      <c r="AE1" s="2"/>
      <c r="AF1" s="2"/>
      <c r="AG1" s="2"/>
    </row>
    <row r="2" spans="1:33" ht="13.8">
      <c r="A2" s="3"/>
      <c r="B2" s="3"/>
      <c r="C2" s="3"/>
      <c r="D2" s="3"/>
      <c r="E2" s="3"/>
      <c r="F2" s="3"/>
      <c r="G2" s="3"/>
      <c r="H2" s="3"/>
      <c r="I2" s="3"/>
      <c r="J2" s="3"/>
      <c r="K2" s="3"/>
      <c r="L2" s="3"/>
      <c r="M2" s="3"/>
      <c r="N2" s="3"/>
      <c r="O2" s="3"/>
      <c r="P2" s="3"/>
      <c r="Q2" s="3"/>
      <c r="R2" s="3"/>
      <c r="S2" s="3"/>
      <c r="T2" s="3"/>
      <c r="U2" s="3"/>
      <c r="V2" s="3"/>
      <c r="W2" s="3"/>
      <c r="X2" s="3"/>
      <c r="Y2" s="3"/>
      <c r="Z2" s="3"/>
      <c r="AA2" s="3"/>
      <c r="AB2" s="3"/>
      <c r="AC2" s="3"/>
      <c r="AD2" s="2"/>
      <c r="AE2" s="2"/>
      <c r="AF2" s="2"/>
      <c r="AG2" s="2"/>
    </row>
    <row r="3" spans="1:33">
      <c r="A3" s="143" t="s">
        <v>41</v>
      </c>
      <c r="B3" s="78"/>
      <c r="C3" s="78"/>
      <c r="D3" s="16" t="str">
        <f>'CP Front Page'!Control_Plan_Number</f>
        <v>CP_MOB_ATA25_1322_D256-79839-002-00_INST.BRACKET 72X10</v>
      </c>
      <c r="E3" s="3"/>
      <c r="F3" s="3"/>
      <c r="G3" s="3"/>
      <c r="H3" s="3"/>
      <c r="I3" s="3"/>
      <c r="J3" s="3"/>
      <c r="K3" s="3"/>
      <c r="L3" s="3"/>
      <c r="M3" s="3"/>
      <c r="N3" s="3"/>
      <c r="O3" s="3"/>
      <c r="P3" s="3"/>
      <c r="Q3" s="3"/>
      <c r="R3" s="3"/>
      <c r="S3" s="3"/>
      <c r="T3" s="3"/>
      <c r="U3" s="3"/>
      <c r="V3" s="3"/>
      <c r="W3" s="3"/>
      <c r="X3" s="3"/>
      <c r="Y3" s="3"/>
      <c r="Z3" s="3"/>
      <c r="AA3" s="3"/>
      <c r="AB3" s="3"/>
      <c r="AC3" s="3"/>
      <c r="AD3" s="2"/>
      <c r="AE3" s="2"/>
      <c r="AF3" s="2"/>
      <c r="AG3" s="2"/>
    </row>
    <row r="4" spans="1:33">
      <c r="A4" s="143" t="s">
        <v>87</v>
      </c>
      <c r="B4" s="78"/>
      <c r="C4" s="78"/>
      <c r="D4" s="16" t="str">
        <f>'CP Front Page'!Issue</f>
        <v>A0</v>
      </c>
      <c r="E4" s="3"/>
      <c r="F4" s="3"/>
      <c r="G4" s="3"/>
      <c r="H4" s="3"/>
      <c r="I4" s="3"/>
      <c r="J4" s="3"/>
      <c r="K4" s="3"/>
      <c r="L4" s="3"/>
      <c r="M4" s="3"/>
      <c r="N4" s="3"/>
      <c r="O4" s="3"/>
      <c r="P4" s="3"/>
      <c r="Q4" s="3"/>
      <c r="R4" s="3"/>
      <c r="S4" s="3"/>
      <c r="T4" s="3"/>
      <c r="U4" s="3"/>
      <c r="V4" s="3"/>
      <c r="W4" s="3"/>
      <c r="X4" s="3"/>
      <c r="Y4" s="3"/>
      <c r="Z4" s="3"/>
      <c r="AA4" s="3"/>
      <c r="AB4" s="3"/>
      <c r="AC4" s="3"/>
      <c r="AD4" s="2"/>
      <c r="AE4" s="2"/>
      <c r="AF4" s="2"/>
      <c r="AG4" s="2"/>
    </row>
    <row r="5" spans="1:33">
      <c r="A5" s="143" t="s">
        <v>99</v>
      </c>
      <c r="B5" s="78"/>
      <c r="C5" s="78"/>
      <c r="D5" s="16" t="str">
        <f>'CP Front Page'!Product_Number</f>
        <v>D256-79839-002-00</v>
      </c>
      <c r="E5" s="3"/>
      <c r="F5" s="3"/>
      <c r="G5" s="3"/>
      <c r="H5" s="3"/>
      <c r="I5" s="3"/>
      <c r="J5" s="3"/>
      <c r="K5" s="3"/>
      <c r="L5" s="3"/>
      <c r="M5" s="3"/>
      <c r="N5" s="3"/>
      <c r="O5" s="3"/>
      <c r="P5" s="3"/>
      <c r="Q5" s="3"/>
      <c r="R5" s="3"/>
      <c r="S5" s="3"/>
      <c r="T5" s="3"/>
      <c r="U5" s="3"/>
      <c r="V5" s="3"/>
      <c r="W5" s="3"/>
      <c r="X5" s="3"/>
      <c r="Y5" s="3"/>
      <c r="Z5" s="3"/>
      <c r="AA5" s="3"/>
      <c r="AB5" s="3"/>
      <c r="AC5" s="3"/>
      <c r="AD5" s="2"/>
      <c r="AE5" s="2"/>
      <c r="AF5" s="2"/>
      <c r="AG5" s="2"/>
    </row>
    <row r="6" spans="1:33">
      <c r="A6" s="143" t="s">
        <v>107</v>
      </c>
      <c r="B6" s="78"/>
      <c r="C6" s="78"/>
      <c r="D6" s="16" t="str">
        <f>'CP Front Page'!Product_Designation</f>
        <v>INST.BRACKET 72X10</v>
      </c>
      <c r="E6" s="3"/>
      <c r="F6" s="3"/>
      <c r="G6" s="3"/>
      <c r="H6" s="3"/>
      <c r="I6" s="3"/>
      <c r="J6" s="3"/>
      <c r="K6" s="3"/>
      <c r="L6" s="3"/>
      <c r="M6" s="3"/>
      <c r="N6" s="3"/>
      <c r="O6" s="3"/>
      <c r="P6" s="3"/>
      <c r="Q6" s="3"/>
      <c r="R6" s="3"/>
      <c r="S6" s="3"/>
      <c r="T6" s="3"/>
      <c r="U6" s="3"/>
      <c r="V6" s="3"/>
      <c r="W6" s="3"/>
      <c r="X6" s="3"/>
      <c r="Y6" s="3"/>
      <c r="Z6" s="3"/>
      <c r="AA6" s="3"/>
      <c r="AB6" s="3"/>
      <c r="AC6" s="3"/>
      <c r="AD6" s="2"/>
      <c r="AE6" s="2"/>
      <c r="AF6" s="2"/>
      <c r="AG6" s="2"/>
    </row>
    <row r="7" spans="1:33">
      <c r="A7" s="143" t="s">
        <v>119</v>
      </c>
      <c r="B7" s="78"/>
      <c r="C7" s="78"/>
      <c r="D7" s="20" t="str">
        <f>'CP Front Page'!E28</f>
        <v>MSN 13441</v>
      </c>
      <c r="E7" s="3"/>
      <c r="F7" s="3"/>
      <c r="G7" s="3"/>
      <c r="H7" s="3"/>
      <c r="I7" s="3"/>
      <c r="J7" s="3"/>
      <c r="K7" s="3"/>
      <c r="L7" s="3"/>
      <c r="M7" s="3"/>
      <c r="N7" s="3"/>
      <c r="O7" s="3"/>
      <c r="P7" s="3"/>
      <c r="Q7" s="3"/>
      <c r="R7" s="3"/>
      <c r="S7" s="3"/>
      <c r="T7" s="3"/>
      <c r="U7" s="3"/>
      <c r="V7" s="3"/>
      <c r="W7" s="3"/>
      <c r="X7" s="3"/>
      <c r="Y7" s="3"/>
      <c r="Z7" s="3"/>
      <c r="AA7" s="3"/>
      <c r="AB7" s="3"/>
      <c r="AC7" s="3"/>
      <c r="AD7" s="2"/>
      <c r="AE7" s="2"/>
      <c r="AF7" s="2"/>
      <c r="AG7" s="2"/>
    </row>
    <row r="8" spans="1:33" ht="13.8">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
      <c r="AE8" s="2"/>
      <c r="AF8" s="2"/>
      <c r="AG8" s="2"/>
    </row>
    <row r="9" spans="1:33" ht="12.75" customHeight="1">
      <c r="A9" s="25" t="s">
        <v>9</v>
      </c>
      <c r="B9" s="25" t="s">
        <v>11</v>
      </c>
      <c r="C9" s="25" t="s">
        <v>150</v>
      </c>
      <c r="D9" s="25" t="s">
        <v>152</v>
      </c>
      <c r="E9" s="25" t="s">
        <v>15</v>
      </c>
      <c r="F9" s="25" t="s">
        <v>16</v>
      </c>
      <c r="G9" s="25" t="s">
        <v>18</v>
      </c>
      <c r="H9" s="25" t="s">
        <v>19</v>
      </c>
      <c r="I9" s="25" t="s">
        <v>20</v>
      </c>
      <c r="J9" s="25" t="s">
        <v>21</v>
      </c>
      <c r="K9" s="25" t="s">
        <v>13</v>
      </c>
      <c r="L9" s="25" t="s">
        <v>158</v>
      </c>
      <c r="M9" s="25" t="s">
        <v>31</v>
      </c>
      <c r="N9" s="25" t="s">
        <v>159</v>
      </c>
      <c r="O9" s="25" t="s">
        <v>33</v>
      </c>
      <c r="P9" s="25" t="s">
        <v>34</v>
      </c>
      <c r="Q9" s="25" t="s">
        <v>35</v>
      </c>
      <c r="R9" s="25" t="s">
        <v>162</v>
      </c>
      <c r="S9" s="25" t="s">
        <v>163</v>
      </c>
      <c r="T9" s="25" t="s">
        <v>166</v>
      </c>
      <c r="U9" s="25" t="s">
        <v>27</v>
      </c>
      <c r="V9" s="25" t="s">
        <v>167</v>
      </c>
      <c r="W9" s="25" t="s">
        <v>168</v>
      </c>
      <c r="X9" s="25" t="s">
        <v>44</v>
      </c>
      <c r="Y9" s="25" t="s">
        <v>169</v>
      </c>
      <c r="Z9" s="25" t="s">
        <v>49</v>
      </c>
      <c r="AA9" s="25" t="s">
        <v>170</v>
      </c>
      <c r="AB9" s="25" t="s">
        <v>175</v>
      </c>
      <c r="AC9" s="25"/>
      <c r="AD9" s="29"/>
      <c r="AE9" s="29"/>
      <c r="AF9" s="29"/>
      <c r="AG9" s="29"/>
    </row>
    <row r="10" spans="1:33" ht="37.5" customHeight="1">
      <c r="A10" s="31" t="s">
        <v>178</v>
      </c>
      <c r="B10" s="32" t="s">
        <v>180</v>
      </c>
      <c r="C10" s="32" t="s">
        <v>70</v>
      </c>
      <c r="D10" s="33" t="s">
        <v>63</v>
      </c>
      <c r="E10" s="33" t="s">
        <v>186</v>
      </c>
      <c r="F10" s="33" t="s">
        <v>187</v>
      </c>
      <c r="G10" s="33" t="s">
        <v>188</v>
      </c>
      <c r="H10" s="34" t="s">
        <v>189</v>
      </c>
      <c r="I10" s="34"/>
      <c r="J10" s="34"/>
      <c r="K10" s="33"/>
      <c r="L10" s="33"/>
      <c r="M10" s="33" t="s">
        <v>196</v>
      </c>
      <c r="N10" s="33"/>
      <c r="O10" s="33"/>
      <c r="P10" s="33"/>
      <c r="Q10" s="33"/>
      <c r="R10" s="33"/>
      <c r="S10" s="33"/>
      <c r="T10" s="33"/>
      <c r="U10" s="33" t="s">
        <v>197</v>
      </c>
      <c r="V10" s="33"/>
      <c r="W10" s="35"/>
      <c r="X10" s="36"/>
      <c r="Y10" s="36"/>
      <c r="Z10" s="37"/>
      <c r="AA10" s="37"/>
      <c r="AB10" s="37"/>
      <c r="AC10" s="38"/>
      <c r="AD10" s="3"/>
      <c r="AE10" s="3"/>
      <c r="AF10" s="3"/>
      <c r="AG10" s="3"/>
    </row>
    <row r="11" spans="1:33" ht="37.5" customHeight="1">
      <c r="A11" s="31" t="s">
        <v>178</v>
      </c>
      <c r="B11" s="32" t="s">
        <v>180</v>
      </c>
      <c r="C11" s="32" t="s">
        <v>70</v>
      </c>
      <c r="D11" s="33" t="s">
        <v>63</v>
      </c>
      <c r="E11" s="33" t="s">
        <v>186</v>
      </c>
      <c r="F11" s="33" t="s">
        <v>204</v>
      </c>
      <c r="G11" s="33" t="s">
        <v>188</v>
      </c>
      <c r="H11" s="34" t="s">
        <v>189</v>
      </c>
      <c r="I11" s="34"/>
      <c r="J11" s="34"/>
      <c r="K11" s="33"/>
      <c r="L11" s="33"/>
      <c r="M11" s="33" t="s">
        <v>196</v>
      </c>
      <c r="N11" s="33"/>
      <c r="O11" s="33"/>
      <c r="P11" s="33"/>
      <c r="Q11" s="33"/>
      <c r="R11" s="33"/>
      <c r="S11" s="33"/>
      <c r="T11" s="33"/>
      <c r="U11" s="33" t="s">
        <v>207</v>
      </c>
      <c r="V11" s="33"/>
      <c r="W11" s="35"/>
      <c r="X11" s="36"/>
      <c r="Y11" s="36"/>
      <c r="Z11" s="37"/>
      <c r="AA11" s="37"/>
      <c r="AB11" s="37"/>
      <c r="AC11" s="38"/>
      <c r="AD11" s="3"/>
      <c r="AE11" s="3"/>
      <c r="AF11" s="3"/>
      <c r="AG11" s="3"/>
    </row>
    <row r="12" spans="1:33" ht="37.5" customHeight="1">
      <c r="A12" s="31" t="s">
        <v>178</v>
      </c>
      <c r="B12" s="32" t="s">
        <v>180</v>
      </c>
      <c r="C12" s="32" t="s">
        <v>70</v>
      </c>
      <c r="D12" s="33" t="s">
        <v>63</v>
      </c>
      <c r="E12" s="33" t="s">
        <v>212</v>
      </c>
      <c r="F12" s="33" t="s">
        <v>213</v>
      </c>
      <c r="G12" s="33" t="s">
        <v>214</v>
      </c>
      <c r="H12" s="34" t="s">
        <v>189</v>
      </c>
      <c r="I12" s="34"/>
      <c r="J12" s="34"/>
      <c r="K12" s="33"/>
      <c r="L12" s="33"/>
      <c r="M12" s="33" t="s">
        <v>196</v>
      </c>
      <c r="N12" s="33"/>
      <c r="O12" s="33"/>
      <c r="P12" s="33"/>
      <c r="Q12" s="33"/>
      <c r="R12" s="33"/>
      <c r="S12" s="33"/>
      <c r="T12" s="33"/>
      <c r="U12" s="33" t="s">
        <v>207</v>
      </c>
      <c r="V12" s="33"/>
      <c r="W12" s="35"/>
      <c r="X12" s="36"/>
      <c r="Y12" s="36"/>
      <c r="Z12" s="37"/>
      <c r="AA12" s="37"/>
      <c r="AB12" s="37"/>
      <c r="AC12" s="38"/>
      <c r="AD12" s="3"/>
      <c r="AE12" s="3"/>
      <c r="AF12" s="3"/>
      <c r="AG12" s="3"/>
    </row>
    <row r="13" spans="1:33" ht="37.5" customHeight="1">
      <c r="A13" s="31" t="s">
        <v>178</v>
      </c>
      <c r="B13" s="32" t="s">
        <v>180</v>
      </c>
      <c r="C13" s="32" t="s">
        <v>70</v>
      </c>
      <c r="D13" s="33" t="s">
        <v>63</v>
      </c>
      <c r="E13" s="33" t="s">
        <v>222</v>
      </c>
      <c r="F13" s="33" t="s">
        <v>223</v>
      </c>
      <c r="G13" s="33" t="s">
        <v>214</v>
      </c>
      <c r="H13" s="34" t="s">
        <v>189</v>
      </c>
      <c r="I13" s="34"/>
      <c r="J13" s="34"/>
      <c r="K13" s="33"/>
      <c r="L13" s="33"/>
      <c r="M13" s="33" t="s">
        <v>196</v>
      </c>
      <c r="N13" s="34"/>
      <c r="O13" s="34"/>
      <c r="P13" s="34"/>
      <c r="Q13" s="34"/>
      <c r="R13" s="34"/>
      <c r="S13" s="34"/>
      <c r="T13" s="34"/>
      <c r="U13" s="33" t="s">
        <v>197</v>
      </c>
      <c r="V13" s="34"/>
      <c r="W13" s="34"/>
      <c r="X13" s="34"/>
      <c r="Y13" s="34"/>
      <c r="Z13" s="34"/>
      <c r="AA13" s="34"/>
      <c r="AB13" s="34"/>
      <c r="AC13" s="38"/>
      <c r="AD13" s="3"/>
      <c r="AE13" s="3"/>
      <c r="AF13" s="3"/>
      <c r="AG13" s="3"/>
    </row>
    <row r="14" spans="1:33" ht="37.5" customHeight="1">
      <c r="A14" s="31" t="s">
        <v>200</v>
      </c>
      <c r="B14" s="32" t="s">
        <v>228</v>
      </c>
      <c r="C14" s="32" t="s">
        <v>70</v>
      </c>
      <c r="D14" s="33" t="s">
        <v>63</v>
      </c>
      <c r="E14" s="33" t="s">
        <v>229</v>
      </c>
      <c r="F14" s="33" t="s">
        <v>231</v>
      </c>
      <c r="G14" s="33" t="s">
        <v>234</v>
      </c>
      <c r="H14" s="34"/>
      <c r="I14" s="34"/>
      <c r="J14" s="34"/>
      <c r="K14" s="34"/>
      <c r="L14" s="34"/>
      <c r="M14" s="33" t="s">
        <v>196</v>
      </c>
      <c r="N14" s="34"/>
      <c r="O14" s="34"/>
      <c r="P14" s="34"/>
      <c r="Q14" s="34"/>
      <c r="R14" s="34"/>
      <c r="S14" s="34"/>
      <c r="T14" s="34"/>
      <c r="U14" s="33" t="s">
        <v>237</v>
      </c>
      <c r="V14" s="34"/>
      <c r="W14" s="34"/>
      <c r="X14" s="34"/>
      <c r="Y14" s="34"/>
      <c r="Z14" s="34"/>
      <c r="AA14" s="34"/>
      <c r="AB14" s="34"/>
      <c r="AC14" s="38"/>
      <c r="AD14" s="3"/>
      <c r="AE14" s="3"/>
      <c r="AF14" s="3"/>
      <c r="AG14" s="3"/>
    </row>
    <row r="15" spans="1:33" ht="37.5" customHeight="1">
      <c r="A15" s="31" t="s">
        <v>200</v>
      </c>
      <c r="B15" s="32" t="s">
        <v>228</v>
      </c>
      <c r="C15" s="32" t="s">
        <v>70</v>
      </c>
      <c r="D15" s="33" t="s">
        <v>63</v>
      </c>
      <c r="E15" s="33" t="s">
        <v>212</v>
      </c>
      <c r="F15" s="33" t="s">
        <v>240</v>
      </c>
      <c r="G15" s="33" t="s">
        <v>241</v>
      </c>
      <c r="H15" s="34"/>
      <c r="I15" s="34"/>
      <c r="J15" s="34"/>
      <c r="K15" s="34"/>
      <c r="L15" s="34"/>
      <c r="M15" s="33" t="s">
        <v>196</v>
      </c>
      <c r="N15" s="34"/>
      <c r="O15" s="34"/>
      <c r="P15" s="34"/>
      <c r="Q15" s="34"/>
      <c r="R15" s="34"/>
      <c r="S15" s="34"/>
      <c r="T15" s="34"/>
      <c r="U15" s="33" t="s">
        <v>197</v>
      </c>
      <c r="V15" s="34"/>
      <c r="W15" s="34"/>
      <c r="X15" s="34"/>
      <c r="Y15" s="34"/>
      <c r="Z15" s="34"/>
      <c r="AA15" s="34"/>
      <c r="AB15" s="34"/>
      <c r="AC15" s="38"/>
      <c r="AD15" s="3"/>
      <c r="AE15" s="3"/>
      <c r="AF15" s="3"/>
      <c r="AG15" s="3"/>
    </row>
    <row r="16" spans="1:33" ht="37.5" customHeight="1">
      <c r="A16" s="31" t="s">
        <v>200</v>
      </c>
      <c r="B16" s="32" t="s">
        <v>228</v>
      </c>
      <c r="C16" s="32" t="s">
        <v>70</v>
      </c>
      <c r="D16" s="33" t="s">
        <v>63</v>
      </c>
      <c r="E16" s="33" t="s">
        <v>186</v>
      </c>
      <c r="F16" s="33" t="s">
        <v>246</v>
      </c>
      <c r="G16" s="33" t="s">
        <v>241</v>
      </c>
      <c r="H16" s="34" t="s">
        <v>189</v>
      </c>
      <c r="I16" s="34"/>
      <c r="J16" s="34"/>
      <c r="K16" s="33"/>
      <c r="L16" s="33"/>
      <c r="M16" s="33" t="s">
        <v>196</v>
      </c>
      <c r="N16" s="40"/>
      <c r="O16" s="40"/>
      <c r="P16" s="40"/>
      <c r="Q16" s="40"/>
      <c r="R16" s="40"/>
      <c r="S16" s="40"/>
      <c r="T16" s="40"/>
      <c r="U16" s="40" t="s">
        <v>250</v>
      </c>
      <c r="V16" s="40"/>
      <c r="W16" s="36"/>
      <c r="X16" s="36"/>
      <c r="Y16" s="36"/>
      <c r="Z16" s="38"/>
      <c r="AA16" s="38"/>
      <c r="AB16" s="38"/>
      <c r="AC16" s="38"/>
      <c r="AD16" s="2"/>
      <c r="AE16" s="2"/>
      <c r="AF16" s="2"/>
      <c r="AG16" s="2"/>
    </row>
    <row r="17" spans="1:33" ht="37.5" customHeight="1">
      <c r="A17" s="31" t="s">
        <v>200</v>
      </c>
      <c r="B17" s="32" t="s">
        <v>228</v>
      </c>
      <c r="C17" s="32" t="s">
        <v>70</v>
      </c>
      <c r="D17" s="33" t="s">
        <v>63</v>
      </c>
      <c r="E17" s="40" t="s">
        <v>257</v>
      </c>
      <c r="F17" s="40" t="s">
        <v>211</v>
      </c>
      <c r="G17" s="33" t="s">
        <v>241</v>
      </c>
      <c r="H17" s="36"/>
      <c r="I17" s="36"/>
      <c r="J17" s="36"/>
      <c r="K17" s="36"/>
      <c r="L17" s="36"/>
      <c r="M17" s="33" t="s">
        <v>196</v>
      </c>
      <c r="N17" s="40"/>
      <c r="O17" s="40"/>
      <c r="P17" s="40"/>
      <c r="Q17" s="40"/>
      <c r="R17" s="40"/>
      <c r="S17" s="40"/>
      <c r="T17" s="40"/>
      <c r="U17" s="40" t="s">
        <v>259</v>
      </c>
      <c r="V17" s="40"/>
      <c r="W17" s="36"/>
      <c r="X17" s="36"/>
      <c r="Y17" s="36"/>
      <c r="Z17" s="38"/>
      <c r="AA17" s="38"/>
      <c r="AB17" s="38"/>
      <c r="AC17" s="38"/>
      <c r="AD17" s="2"/>
      <c r="AE17" s="2"/>
      <c r="AF17" s="2"/>
      <c r="AG17" s="2"/>
    </row>
    <row r="18" spans="1:33" ht="37.5" customHeight="1">
      <c r="A18" s="31" t="s">
        <v>200</v>
      </c>
      <c r="B18" s="32" t="s">
        <v>228</v>
      </c>
      <c r="C18" s="32" t="s">
        <v>70</v>
      </c>
      <c r="D18" s="33" t="s">
        <v>63</v>
      </c>
      <c r="E18" s="33" t="s">
        <v>186</v>
      </c>
      <c r="F18" s="40" t="s">
        <v>265</v>
      </c>
      <c r="G18" s="33" t="s">
        <v>241</v>
      </c>
      <c r="H18" s="36"/>
      <c r="I18" s="36"/>
      <c r="J18" s="36"/>
      <c r="K18" s="36"/>
      <c r="L18" s="36"/>
      <c r="M18" s="33" t="s">
        <v>196</v>
      </c>
      <c r="N18" s="40"/>
      <c r="O18" s="40"/>
      <c r="P18" s="40"/>
      <c r="Q18" s="40"/>
      <c r="R18" s="40"/>
      <c r="S18" s="40"/>
      <c r="T18" s="40"/>
      <c r="U18" s="40" t="s">
        <v>237</v>
      </c>
      <c r="V18" s="40"/>
      <c r="W18" s="36"/>
      <c r="X18" s="36"/>
      <c r="Y18" s="36"/>
      <c r="Z18" s="38"/>
      <c r="AA18" s="38"/>
      <c r="AB18" s="38"/>
      <c r="AC18" s="38"/>
      <c r="AD18" s="2"/>
      <c r="AE18" s="2"/>
      <c r="AF18" s="2"/>
      <c r="AG18" s="2"/>
    </row>
    <row r="19" spans="1:33" ht="37.5" customHeight="1">
      <c r="A19" s="31" t="s">
        <v>200</v>
      </c>
      <c r="B19" s="32" t="s">
        <v>228</v>
      </c>
      <c r="C19" s="32" t="s">
        <v>70</v>
      </c>
      <c r="D19" s="33" t="s">
        <v>63</v>
      </c>
      <c r="E19" s="33" t="s">
        <v>212</v>
      </c>
      <c r="F19" s="40" t="s">
        <v>266</v>
      </c>
      <c r="G19" s="33" t="s">
        <v>241</v>
      </c>
      <c r="H19" s="36"/>
      <c r="I19" s="36"/>
      <c r="J19" s="36"/>
      <c r="K19" s="36"/>
      <c r="L19" s="36"/>
      <c r="M19" s="33" t="s">
        <v>196</v>
      </c>
      <c r="N19" s="40"/>
      <c r="O19" s="40"/>
      <c r="P19" s="40"/>
      <c r="Q19" s="40"/>
      <c r="R19" s="40"/>
      <c r="S19" s="40"/>
      <c r="T19" s="40"/>
      <c r="U19" s="40" t="s">
        <v>271</v>
      </c>
      <c r="V19" s="40"/>
      <c r="W19" s="36"/>
      <c r="X19" s="36"/>
      <c r="Y19" s="36"/>
      <c r="Z19" s="38"/>
      <c r="AA19" s="38"/>
      <c r="AB19" s="38"/>
      <c r="AC19" s="38"/>
      <c r="AD19" s="2"/>
      <c r="AE19" s="2"/>
      <c r="AF19" s="2"/>
      <c r="AG19" s="2"/>
    </row>
    <row r="20" spans="1:33" ht="37.5" customHeight="1">
      <c r="A20" s="31" t="s">
        <v>200</v>
      </c>
      <c r="B20" s="32" t="s">
        <v>228</v>
      </c>
      <c r="C20" s="32" t="s">
        <v>70</v>
      </c>
      <c r="D20" s="33" t="s">
        <v>63</v>
      </c>
      <c r="E20" s="33" t="s">
        <v>212</v>
      </c>
      <c r="F20" s="40" t="s">
        <v>274</v>
      </c>
      <c r="G20" s="33" t="s">
        <v>241</v>
      </c>
      <c r="H20" s="36"/>
      <c r="I20" s="36"/>
      <c r="J20" s="36"/>
      <c r="K20" s="36"/>
      <c r="L20" s="36"/>
      <c r="M20" s="33" t="s">
        <v>196</v>
      </c>
      <c r="N20" s="36"/>
      <c r="O20" s="36"/>
      <c r="P20" s="36"/>
      <c r="Q20" s="36"/>
      <c r="R20" s="36"/>
      <c r="S20" s="36"/>
      <c r="T20" s="36"/>
      <c r="U20" s="33" t="s">
        <v>271</v>
      </c>
      <c r="V20" s="36"/>
      <c r="W20" s="36"/>
      <c r="X20" s="36"/>
      <c r="Y20" s="36"/>
      <c r="Z20" s="38"/>
      <c r="AA20" s="38"/>
      <c r="AB20" s="38"/>
      <c r="AC20" s="38"/>
      <c r="AD20" s="2"/>
      <c r="AE20" s="2"/>
      <c r="AF20" s="2"/>
      <c r="AG20" s="2"/>
    </row>
    <row r="21" spans="1:33" ht="37.5" customHeight="1">
      <c r="A21" s="31" t="s">
        <v>200</v>
      </c>
      <c r="B21" s="32" t="s">
        <v>228</v>
      </c>
      <c r="C21" s="32" t="s">
        <v>70</v>
      </c>
      <c r="D21" s="33" t="s">
        <v>63</v>
      </c>
      <c r="E21" s="33" t="s">
        <v>229</v>
      </c>
      <c r="F21" s="33" t="s">
        <v>281</v>
      </c>
      <c r="G21" s="33" t="s">
        <v>241</v>
      </c>
      <c r="H21" s="34"/>
      <c r="I21" s="34"/>
      <c r="J21" s="34"/>
      <c r="K21" s="34"/>
      <c r="L21" s="34"/>
      <c r="M21" s="33" t="s">
        <v>196</v>
      </c>
      <c r="N21" s="36"/>
      <c r="O21" s="36"/>
      <c r="P21" s="36"/>
      <c r="Q21" s="36"/>
      <c r="R21" s="36"/>
      <c r="S21" s="36"/>
      <c r="T21" s="36"/>
      <c r="U21" s="33" t="s">
        <v>197</v>
      </c>
      <c r="V21" s="36"/>
      <c r="W21" s="36"/>
      <c r="X21" s="36"/>
      <c r="Y21" s="36"/>
      <c r="Z21" s="38"/>
      <c r="AA21" s="38"/>
      <c r="AB21" s="38"/>
      <c r="AC21" s="38"/>
      <c r="AD21" s="2"/>
      <c r="AE21" s="2"/>
      <c r="AF21" s="2"/>
      <c r="AG21" s="2"/>
    </row>
    <row r="22" spans="1:33" ht="37.5" customHeight="1">
      <c r="A22" s="144" t="s">
        <v>200</v>
      </c>
      <c r="B22" s="145" t="s">
        <v>228</v>
      </c>
      <c r="C22" s="145" t="s">
        <v>70</v>
      </c>
      <c r="D22" s="140" t="s">
        <v>63</v>
      </c>
      <c r="E22" s="141" t="s">
        <v>291</v>
      </c>
      <c r="F22" s="141" t="s">
        <v>274</v>
      </c>
      <c r="G22" s="140" t="s">
        <v>241</v>
      </c>
      <c r="H22" s="40"/>
      <c r="I22" s="40"/>
      <c r="J22" s="36"/>
      <c r="K22" s="36"/>
      <c r="L22" s="36"/>
      <c r="M22" s="33" t="s">
        <v>298</v>
      </c>
      <c r="N22" s="36"/>
      <c r="O22" s="36"/>
      <c r="P22" s="36"/>
      <c r="Q22" s="36"/>
      <c r="R22" s="36"/>
      <c r="S22" s="36"/>
      <c r="T22" s="36"/>
      <c r="U22" s="141">
        <v>1</v>
      </c>
      <c r="V22" s="36"/>
      <c r="W22" s="36"/>
      <c r="X22" s="36"/>
      <c r="Y22" s="36"/>
      <c r="Z22" s="38"/>
      <c r="AA22" s="38"/>
      <c r="AB22" s="38"/>
      <c r="AC22" s="38"/>
      <c r="AD22" s="2"/>
      <c r="AE22" s="2"/>
      <c r="AF22" s="2"/>
      <c r="AG22" s="2"/>
    </row>
    <row r="23" spans="1:33" ht="37.5" customHeight="1">
      <c r="A23" s="128"/>
      <c r="B23" s="90"/>
      <c r="C23" s="90"/>
      <c r="D23" s="90"/>
      <c r="E23" s="90"/>
      <c r="F23" s="90"/>
      <c r="G23" s="90"/>
      <c r="H23" s="40"/>
      <c r="I23" s="40"/>
      <c r="J23" s="36"/>
      <c r="K23" s="36"/>
      <c r="L23" s="36"/>
      <c r="M23" s="33" t="s">
        <v>310</v>
      </c>
      <c r="N23" s="36"/>
      <c r="O23" s="36"/>
      <c r="P23" s="36"/>
      <c r="Q23" s="36"/>
      <c r="R23" s="36"/>
      <c r="S23" s="36"/>
      <c r="T23" s="36"/>
      <c r="U23" s="90"/>
      <c r="V23" s="36"/>
      <c r="W23" s="36"/>
      <c r="X23" s="36"/>
      <c r="Y23" s="36"/>
      <c r="Z23" s="38"/>
      <c r="AA23" s="38"/>
      <c r="AB23" s="38"/>
      <c r="AC23" s="38"/>
      <c r="AD23" s="2"/>
      <c r="AE23" s="2"/>
      <c r="AF23" s="2"/>
      <c r="AG23" s="2"/>
    </row>
    <row r="24" spans="1:33" ht="37.5" customHeight="1">
      <c r="A24" s="31" t="s">
        <v>200</v>
      </c>
      <c r="B24" s="32" t="s">
        <v>228</v>
      </c>
      <c r="C24" s="32" t="s">
        <v>70</v>
      </c>
      <c r="D24" s="33" t="s">
        <v>63</v>
      </c>
      <c r="E24" s="33" t="s">
        <v>291</v>
      </c>
      <c r="F24" s="33" t="s">
        <v>274</v>
      </c>
      <c r="G24" s="33" t="s">
        <v>315</v>
      </c>
      <c r="H24" s="34"/>
      <c r="I24" s="34"/>
      <c r="J24" s="34"/>
      <c r="K24" s="34"/>
      <c r="L24" s="34"/>
      <c r="M24" s="33" t="s">
        <v>316</v>
      </c>
      <c r="N24" s="36"/>
      <c r="O24" s="36"/>
      <c r="P24" s="36"/>
      <c r="Q24" s="36"/>
      <c r="R24" s="36"/>
      <c r="S24" s="36"/>
      <c r="T24" s="36"/>
      <c r="U24" s="33" t="s">
        <v>271</v>
      </c>
      <c r="V24" s="36"/>
      <c r="W24" s="36"/>
      <c r="X24" s="36"/>
      <c r="Y24" s="36"/>
      <c r="Z24" s="38"/>
      <c r="AA24" s="38"/>
      <c r="AB24" s="38"/>
      <c r="AC24" s="38"/>
      <c r="AD24" s="2"/>
      <c r="AE24" s="2"/>
      <c r="AF24" s="2"/>
      <c r="AG24" s="2"/>
    </row>
    <row r="25" spans="1:33" ht="37.5" customHeight="1">
      <c r="A25" s="144" t="s">
        <v>200</v>
      </c>
      <c r="B25" s="145" t="s">
        <v>228</v>
      </c>
      <c r="C25" s="145" t="s">
        <v>70</v>
      </c>
      <c r="D25" s="140" t="s">
        <v>63</v>
      </c>
      <c r="E25" s="141" t="s">
        <v>291</v>
      </c>
      <c r="F25" s="141" t="s">
        <v>274</v>
      </c>
      <c r="G25" s="140" t="s">
        <v>241</v>
      </c>
      <c r="H25" s="40"/>
      <c r="I25" s="40"/>
      <c r="J25" s="36"/>
      <c r="K25" s="36"/>
      <c r="L25" s="36"/>
      <c r="M25" s="33" t="s">
        <v>333</v>
      </c>
      <c r="N25" s="36"/>
      <c r="O25" s="36"/>
      <c r="P25" s="36"/>
      <c r="Q25" s="36"/>
      <c r="R25" s="36"/>
      <c r="S25" s="36"/>
      <c r="T25" s="36"/>
      <c r="U25" s="141">
        <v>1</v>
      </c>
      <c r="V25" s="36"/>
      <c r="W25" s="36"/>
      <c r="X25" s="36"/>
      <c r="Y25" s="36"/>
      <c r="Z25" s="38"/>
      <c r="AA25" s="38"/>
      <c r="AB25" s="38"/>
      <c r="AC25" s="38"/>
      <c r="AD25" s="2"/>
      <c r="AE25" s="2"/>
      <c r="AF25" s="2"/>
      <c r="AG25" s="2"/>
    </row>
    <row r="26" spans="1:33" ht="37.5" customHeight="1">
      <c r="A26" s="128"/>
      <c r="B26" s="90"/>
      <c r="C26" s="90"/>
      <c r="D26" s="90"/>
      <c r="E26" s="90"/>
      <c r="F26" s="90"/>
      <c r="G26" s="90"/>
      <c r="H26" s="40"/>
      <c r="I26" s="40"/>
      <c r="J26" s="36"/>
      <c r="K26" s="36"/>
      <c r="L26" s="36"/>
      <c r="M26" s="33" t="s">
        <v>310</v>
      </c>
      <c r="N26" s="36"/>
      <c r="O26" s="36"/>
      <c r="P26" s="36"/>
      <c r="Q26" s="36"/>
      <c r="R26" s="36"/>
      <c r="S26" s="36"/>
      <c r="T26" s="36"/>
      <c r="U26" s="90"/>
      <c r="V26" s="36"/>
      <c r="W26" s="36"/>
      <c r="X26" s="36"/>
      <c r="Y26" s="36"/>
      <c r="Z26" s="38"/>
      <c r="AA26" s="38"/>
      <c r="AB26" s="38"/>
      <c r="AC26" s="38"/>
      <c r="AD26" s="2"/>
      <c r="AE26" s="2"/>
      <c r="AF26" s="2"/>
      <c r="AG26" s="2"/>
    </row>
    <row r="27" spans="1:33" ht="37.5" customHeight="1">
      <c r="A27" s="31" t="s">
        <v>200</v>
      </c>
      <c r="B27" s="32" t="s">
        <v>228</v>
      </c>
      <c r="C27" s="32" t="s">
        <v>70</v>
      </c>
      <c r="D27" s="33" t="s">
        <v>63</v>
      </c>
      <c r="E27" s="33" t="s">
        <v>291</v>
      </c>
      <c r="F27" s="33" t="s">
        <v>274</v>
      </c>
      <c r="G27" s="33" t="s">
        <v>315</v>
      </c>
      <c r="H27" s="34"/>
      <c r="I27" s="34"/>
      <c r="J27" s="34"/>
      <c r="K27" s="34"/>
      <c r="L27" s="34"/>
      <c r="M27" s="33" t="s">
        <v>316</v>
      </c>
      <c r="N27" s="36"/>
      <c r="O27" s="36"/>
      <c r="P27" s="36"/>
      <c r="Q27" s="36"/>
      <c r="R27" s="36"/>
      <c r="S27" s="36"/>
      <c r="T27" s="36"/>
      <c r="U27" s="36">
        <v>1</v>
      </c>
      <c r="V27" s="36"/>
      <c r="W27" s="36"/>
      <c r="X27" s="36"/>
      <c r="Y27" s="36"/>
      <c r="Z27" s="38"/>
      <c r="AA27" s="38"/>
      <c r="AB27" s="38"/>
      <c r="AC27" s="38"/>
      <c r="AD27" s="2"/>
      <c r="AE27" s="2"/>
      <c r="AF27" s="2"/>
      <c r="AG27" s="2"/>
    </row>
    <row r="28" spans="1:33" ht="37.5" customHeight="1">
      <c r="A28" s="31" t="s">
        <v>200</v>
      </c>
      <c r="B28" s="32" t="s">
        <v>228</v>
      </c>
      <c r="C28" s="32" t="s">
        <v>70</v>
      </c>
      <c r="D28" s="33" t="s">
        <v>63</v>
      </c>
      <c r="E28" s="33" t="s">
        <v>229</v>
      </c>
      <c r="F28" s="33" t="s">
        <v>341</v>
      </c>
      <c r="G28" s="33" t="s">
        <v>241</v>
      </c>
      <c r="H28" s="34"/>
      <c r="I28" s="34"/>
      <c r="J28" s="34"/>
      <c r="K28" s="34"/>
      <c r="L28" s="34"/>
      <c r="M28" s="33" t="s">
        <v>196</v>
      </c>
      <c r="N28" s="32"/>
      <c r="O28" s="32"/>
      <c r="P28" s="32"/>
      <c r="Q28" s="32"/>
      <c r="R28" s="32"/>
      <c r="S28" s="32"/>
      <c r="T28" s="32"/>
      <c r="U28" s="41">
        <v>4</v>
      </c>
      <c r="V28" s="32"/>
      <c r="W28" s="36"/>
      <c r="X28" s="36"/>
      <c r="Y28" s="36"/>
      <c r="Z28" s="38"/>
      <c r="AA28" s="38"/>
      <c r="AB28" s="38"/>
      <c r="AC28" s="38"/>
      <c r="AD28" s="2"/>
      <c r="AE28" s="2"/>
      <c r="AF28" s="2"/>
      <c r="AG28" s="2"/>
    </row>
    <row r="29" spans="1:33" ht="37.5" customHeight="1">
      <c r="A29" s="144" t="s">
        <v>200</v>
      </c>
      <c r="B29" s="145" t="s">
        <v>228</v>
      </c>
      <c r="C29" s="145" t="s">
        <v>70</v>
      </c>
      <c r="D29" s="140" t="s">
        <v>63</v>
      </c>
      <c r="E29" s="141" t="s">
        <v>354</v>
      </c>
      <c r="F29" s="141" t="s">
        <v>355</v>
      </c>
      <c r="G29" s="140" t="s">
        <v>359</v>
      </c>
      <c r="H29" s="40"/>
      <c r="I29" s="40"/>
      <c r="J29" s="36"/>
      <c r="K29" s="36"/>
      <c r="L29" s="36"/>
      <c r="M29" s="33" t="s">
        <v>361</v>
      </c>
      <c r="N29" s="32"/>
      <c r="O29" s="32"/>
      <c r="P29" s="32"/>
      <c r="Q29" s="32"/>
      <c r="R29" s="32"/>
      <c r="S29" s="32"/>
      <c r="T29" s="32"/>
      <c r="U29" s="146">
        <v>1</v>
      </c>
      <c r="V29" s="32"/>
      <c r="W29" s="36"/>
      <c r="X29" s="36"/>
      <c r="Y29" s="36"/>
      <c r="Z29" s="38"/>
      <c r="AA29" s="38"/>
      <c r="AB29" s="38"/>
      <c r="AC29" s="38"/>
      <c r="AD29" s="2"/>
      <c r="AE29" s="2"/>
      <c r="AF29" s="2"/>
      <c r="AG29" s="2"/>
    </row>
    <row r="30" spans="1:33" ht="37.5" customHeight="1">
      <c r="A30" s="127"/>
      <c r="B30" s="121"/>
      <c r="C30" s="121"/>
      <c r="D30" s="121"/>
      <c r="E30" s="121"/>
      <c r="F30" s="121"/>
      <c r="G30" s="121"/>
      <c r="H30" s="40"/>
      <c r="I30" s="40"/>
      <c r="J30" s="36"/>
      <c r="K30" s="36"/>
      <c r="L30" s="36"/>
      <c r="M30" s="33" t="s">
        <v>371</v>
      </c>
      <c r="N30" s="32"/>
      <c r="O30" s="32"/>
      <c r="P30" s="32"/>
      <c r="Q30" s="32"/>
      <c r="R30" s="32"/>
      <c r="S30" s="32"/>
      <c r="T30" s="32"/>
      <c r="U30" s="121"/>
      <c r="V30" s="32"/>
      <c r="W30" s="36"/>
      <c r="X30" s="36"/>
      <c r="Y30" s="36"/>
      <c r="Z30" s="38"/>
      <c r="AA30" s="38"/>
      <c r="AB30" s="38"/>
      <c r="AC30" s="38"/>
      <c r="AD30" s="2"/>
      <c r="AE30" s="2"/>
      <c r="AF30" s="2"/>
      <c r="AG30" s="2"/>
    </row>
    <row r="31" spans="1:33" ht="37.5" customHeight="1">
      <c r="A31" s="128"/>
      <c r="B31" s="90"/>
      <c r="C31" s="90"/>
      <c r="D31" s="90"/>
      <c r="E31" s="90"/>
      <c r="F31" s="90"/>
      <c r="G31" s="90"/>
      <c r="H31" s="42"/>
      <c r="I31" s="42"/>
      <c r="J31" s="42"/>
      <c r="K31" s="42"/>
      <c r="L31" s="42"/>
      <c r="M31" s="33" t="s">
        <v>379</v>
      </c>
      <c r="N31" s="36"/>
      <c r="O31" s="36"/>
      <c r="P31" s="36"/>
      <c r="Q31" s="36"/>
      <c r="R31" s="36"/>
      <c r="S31" s="36"/>
      <c r="T31" s="36"/>
      <c r="U31" s="90"/>
      <c r="V31" s="36"/>
      <c r="W31" s="36"/>
      <c r="X31" s="36"/>
      <c r="Y31" s="36"/>
      <c r="Z31" s="38"/>
      <c r="AA31" s="38"/>
      <c r="AB31" s="38"/>
      <c r="AC31" s="38"/>
      <c r="AD31" s="2"/>
      <c r="AE31" s="2"/>
      <c r="AF31" s="2"/>
      <c r="AG31" s="2"/>
    </row>
    <row r="32" spans="1:33" ht="37.5" customHeight="1">
      <c r="A32" s="31" t="s">
        <v>200</v>
      </c>
      <c r="B32" s="32" t="s">
        <v>228</v>
      </c>
      <c r="C32" s="32" t="s">
        <v>70</v>
      </c>
      <c r="D32" s="33" t="s">
        <v>63</v>
      </c>
      <c r="E32" s="33" t="s">
        <v>384</v>
      </c>
      <c r="F32" s="33" t="s">
        <v>355</v>
      </c>
      <c r="G32" s="33" t="s">
        <v>386</v>
      </c>
      <c r="H32" s="34"/>
      <c r="I32" s="34"/>
      <c r="J32" s="34"/>
      <c r="K32" s="34"/>
      <c r="L32" s="34"/>
      <c r="M32" s="33" t="s">
        <v>316</v>
      </c>
      <c r="N32" s="36"/>
      <c r="O32" s="36"/>
      <c r="P32" s="36"/>
      <c r="Q32" s="36"/>
      <c r="R32" s="36"/>
      <c r="S32" s="36"/>
      <c r="T32" s="36"/>
      <c r="U32" s="33" t="s">
        <v>271</v>
      </c>
      <c r="V32" s="36"/>
      <c r="W32" s="36"/>
      <c r="X32" s="36"/>
      <c r="Y32" s="36"/>
      <c r="Z32" s="38"/>
      <c r="AA32" s="38"/>
      <c r="AB32" s="38"/>
      <c r="AC32" s="38"/>
      <c r="AD32" s="2"/>
      <c r="AE32" s="2"/>
      <c r="AF32" s="2"/>
      <c r="AG32" s="2"/>
    </row>
    <row r="33" spans="1:33" ht="37.5" customHeight="1">
      <c r="A33" s="31" t="s">
        <v>200</v>
      </c>
      <c r="B33" s="32" t="s">
        <v>228</v>
      </c>
      <c r="C33" s="32" t="s">
        <v>70</v>
      </c>
      <c r="D33" s="33" t="s">
        <v>63</v>
      </c>
      <c r="E33" s="33" t="s">
        <v>229</v>
      </c>
      <c r="F33" s="33" t="s">
        <v>391</v>
      </c>
      <c r="G33" s="33" t="s">
        <v>392</v>
      </c>
      <c r="H33" s="34"/>
      <c r="I33" s="34"/>
      <c r="J33" s="34"/>
      <c r="K33" s="34"/>
      <c r="L33" s="34"/>
      <c r="M33" s="33" t="s">
        <v>196</v>
      </c>
      <c r="N33" s="36"/>
      <c r="O33" s="36"/>
      <c r="P33" s="36"/>
      <c r="Q33" s="36"/>
      <c r="R33" s="36"/>
      <c r="S33" s="36"/>
      <c r="T33" s="36"/>
      <c r="U33" s="33" t="s">
        <v>207</v>
      </c>
      <c r="V33" s="36"/>
      <c r="W33" s="36"/>
      <c r="X33" s="36"/>
      <c r="Y33" s="36"/>
      <c r="Z33" s="38"/>
      <c r="AA33" s="38"/>
      <c r="AB33" s="38"/>
      <c r="AC33" s="38"/>
      <c r="AD33" s="2"/>
      <c r="AE33" s="2"/>
      <c r="AF33" s="2"/>
      <c r="AG33" s="2"/>
    </row>
    <row r="34" spans="1:33" ht="37.5" customHeight="1">
      <c r="A34" s="31" t="s">
        <v>200</v>
      </c>
      <c r="B34" s="32" t="s">
        <v>228</v>
      </c>
      <c r="C34" s="32" t="s">
        <v>70</v>
      </c>
      <c r="D34" s="33" t="s">
        <v>63</v>
      </c>
      <c r="E34" s="33" t="s">
        <v>229</v>
      </c>
      <c r="F34" s="33" t="s">
        <v>399</v>
      </c>
      <c r="G34" s="33" t="s">
        <v>392</v>
      </c>
      <c r="H34" s="34"/>
      <c r="I34" s="34"/>
      <c r="J34" s="34"/>
      <c r="K34" s="34"/>
      <c r="L34" s="34"/>
      <c r="M34" s="33" t="s">
        <v>196</v>
      </c>
      <c r="N34" s="36"/>
      <c r="O34" s="36"/>
      <c r="P34" s="36"/>
      <c r="Q34" s="36"/>
      <c r="R34" s="36"/>
      <c r="S34" s="36"/>
      <c r="T34" s="36"/>
      <c r="U34" s="33" t="s">
        <v>207</v>
      </c>
      <c r="V34" s="36"/>
      <c r="W34" s="36"/>
      <c r="X34" s="36"/>
      <c r="Y34" s="36"/>
      <c r="Z34" s="38"/>
      <c r="AA34" s="38"/>
      <c r="AB34" s="38"/>
      <c r="AC34" s="38"/>
      <c r="AD34" s="2"/>
      <c r="AE34" s="2"/>
      <c r="AF34" s="2"/>
      <c r="AG34" s="2"/>
    </row>
    <row r="35" spans="1:33" ht="37.5" customHeight="1">
      <c r="A35" s="31" t="s">
        <v>200</v>
      </c>
      <c r="B35" s="32" t="s">
        <v>228</v>
      </c>
      <c r="C35" s="32" t="s">
        <v>70</v>
      </c>
      <c r="D35" s="33" t="s">
        <v>63</v>
      </c>
      <c r="E35" s="33" t="s">
        <v>229</v>
      </c>
      <c r="F35" s="33" t="s">
        <v>403</v>
      </c>
      <c r="G35" s="33" t="s">
        <v>392</v>
      </c>
      <c r="H35" s="34"/>
      <c r="I35" s="34"/>
      <c r="J35" s="34"/>
      <c r="K35" s="34"/>
      <c r="L35" s="34"/>
      <c r="M35" s="33" t="s">
        <v>196</v>
      </c>
      <c r="N35" s="36"/>
      <c r="O35" s="36"/>
      <c r="P35" s="36"/>
      <c r="Q35" s="36"/>
      <c r="R35" s="36"/>
      <c r="S35" s="36"/>
      <c r="T35" s="36"/>
      <c r="U35" s="33" t="s">
        <v>197</v>
      </c>
      <c r="V35" s="36"/>
      <c r="W35" s="36"/>
      <c r="X35" s="36"/>
      <c r="Y35" s="36"/>
      <c r="Z35" s="38"/>
      <c r="AA35" s="38"/>
      <c r="AB35" s="38"/>
      <c r="AC35" s="38"/>
      <c r="AD35" s="2"/>
      <c r="AE35" s="2"/>
      <c r="AF35" s="2"/>
      <c r="AG35" s="2"/>
    </row>
    <row r="36" spans="1:33" ht="41.4">
      <c r="A36" s="44" t="s">
        <v>173</v>
      </c>
      <c r="B36" s="32" t="s">
        <v>408</v>
      </c>
      <c r="C36" s="32" t="s">
        <v>70</v>
      </c>
      <c r="D36" s="33" t="s">
        <v>63</v>
      </c>
      <c r="E36" s="33" t="s">
        <v>229</v>
      </c>
      <c r="F36" s="36" t="s">
        <v>409</v>
      </c>
      <c r="G36" s="33" t="s">
        <v>415</v>
      </c>
      <c r="H36" s="36"/>
      <c r="I36" s="36"/>
      <c r="J36" s="36"/>
      <c r="K36" s="36"/>
      <c r="L36" s="36"/>
      <c r="M36" s="33" t="s">
        <v>196</v>
      </c>
      <c r="N36" s="36"/>
      <c r="O36" s="36"/>
      <c r="P36" s="36"/>
      <c r="Q36" s="36"/>
      <c r="R36" s="36"/>
      <c r="S36" s="36"/>
      <c r="T36" s="36"/>
      <c r="U36" s="33" t="s">
        <v>197</v>
      </c>
      <c r="V36" s="38"/>
      <c r="W36" s="38"/>
      <c r="X36" s="38"/>
      <c r="Y36" s="38"/>
      <c r="Z36" s="38"/>
      <c r="AA36" s="38"/>
      <c r="AB36" s="38"/>
      <c r="AC36" s="38"/>
      <c r="AD36" s="2"/>
      <c r="AE36" s="2"/>
      <c r="AF36" s="2"/>
      <c r="AG36" s="2"/>
    </row>
    <row r="37" spans="1:33" ht="37.5" customHeight="1">
      <c r="A37" s="44" t="s">
        <v>173</v>
      </c>
      <c r="B37" s="32" t="s">
        <v>408</v>
      </c>
      <c r="C37" s="32" t="s">
        <v>70</v>
      </c>
      <c r="D37" s="33" t="s">
        <v>63</v>
      </c>
      <c r="E37" s="33" t="s">
        <v>229</v>
      </c>
      <c r="F37" s="36" t="s">
        <v>421</v>
      </c>
      <c r="G37" s="33" t="s">
        <v>415</v>
      </c>
      <c r="H37" s="36"/>
      <c r="I37" s="36"/>
      <c r="J37" s="36"/>
      <c r="K37" s="36"/>
      <c r="L37" s="36"/>
      <c r="M37" s="33" t="s">
        <v>196</v>
      </c>
      <c r="N37" s="36"/>
      <c r="O37" s="36"/>
      <c r="P37" s="36"/>
      <c r="Q37" s="36"/>
      <c r="R37" s="36"/>
      <c r="S37" s="36"/>
      <c r="T37" s="36"/>
      <c r="U37" s="33" t="s">
        <v>207</v>
      </c>
      <c r="V37" s="38"/>
      <c r="W37" s="38"/>
      <c r="X37" s="38"/>
      <c r="Y37" s="38"/>
      <c r="Z37" s="38"/>
      <c r="AA37" s="38"/>
      <c r="AB37" s="38"/>
      <c r="AC37" s="38"/>
      <c r="AD37" s="2"/>
      <c r="AE37" s="2"/>
      <c r="AF37" s="2"/>
      <c r="AG37" s="2"/>
    </row>
    <row r="38" spans="1:33" ht="37.5" customHeight="1">
      <c r="A38" s="44" t="s">
        <v>173</v>
      </c>
      <c r="B38" s="32" t="s">
        <v>408</v>
      </c>
      <c r="C38" s="32" t="s">
        <v>70</v>
      </c>
      <c r="D38" s="33" t="s">
        <v>63</v>
      </c>
      <c r="E38" s="33" t="s">
        <v>229</v>
      </c>
      <c r="F38" s="36" t="s">
        <v>426</v>
      </c>
      <c r="G38" s="33" t="s">
        <v>415</v>
      </c>
      <c r="H38" s="38"/>
      <c r="I38" s="38"/>
      <c r="J38" s="38"/>
      <c r="K38" s="38"/>
      <c r="L38" s="38"/>
      <c r="M38" s="33" t="s">
        <v>196</v>
      </c>
      <c r="N38" s="38"/>
      <c r="O38" s="38"/>
      <c r="P38" s="38"/>
      <c r="Q38" s="38"/>
      <c r="R38" s="38"/>
      <c r="S38" s="38"/>
      <c r="T38" s="38"/>
      <c r="U38" s="33" t="s">
        <v>207</v>
      </c>
      <c r="V38" s="38"/>
      <c r="W38" s="38"/>
      <c r="X38" s="38"/>
      <c r="Y38" s="38"/>
      <c r="Z38" s="38"/>
      <c r="AA38" s="38"/>
      <c r="AB38" s="38"/>
      <c r="AC38" s="38"/>
      <c r="AD38" s="2"/>
      <c r="AE38" s="2"/>
      <c r="AF38" s="2"/>
      <c r="AG38" s="2"/>
    </row>
    <row r="39" spans="1:33" ht="45.6">
      <c r="A39" s="44" t="s">
        <v>173</v>
      </c>
      <c r="B39" s="32" t="s">
        <v>408</v>
      </c>
      <c r="C39" s="32" t="s">
        <v>70</v>
      </c>
      <c r="D39" s="33" t="s">
        <v>63</v>
      </c>
      <c r="E39" s="33" t="s">
        <v>257</v>
      </c>
      <c r="F39" s="36" t="s">
        <v>432</v>
      </c>
      <c r="G39" s="33" t="s">
        <v>434</v>
      </c>
      <c r="H39" s="38"/>
      <c r="I39" s="38"/>
      <c r="J39" s="38"/>
      <c r="K39" s="38"/>
      <c r="L39" s="38"/>
      <c r="M39" s="33" t="s">
        <v>196</v>
      </c>
      <c r="N39" s="38"/>
      <c r="O39" s="38"/>
      <c r="P39" s="38"/>
      <c r="Q39" s="38"/>
      <c r="R39" s="38"/>
      <c r="S39" s="38"/>
      <c r="T39" s="38"/>
      <c r="U39" s="33" t="s">
        <v>197</v>
      </c>
      <c r="V39" s="38"/>
      <c r="W39" s="38"/>
      <c r="X39" s="38"/>
      <c r="Y39" s="38"/>
      <c r="Z39" s="38"/>
      <c r="AA39" s="38"/>
      <c r="AB39" s="38"/>
      <c r="AC39" s="38"/>
      <c r="AD39" s="2"/>
      <c r="AE39" s="2"/>
      <c r="AF39" s="2"/>
      <c r="AG39" s="2"/>
    </row>
    <row r="40" spans="1:33" ht="37.5" customHeight="1">
      <c r="A40" s="44" t="s">
        <v>173</v>
      </c>
      <c r="B40" s="32" t="s">
        <v>180</v>
      </c>
      <c r="C40" s="32" t="s">
        <v>70</v>
      </c>
      <c r="D40" s="33" t="s">
        <v>63</v>
      </c>
      <c r="E40" s="33" t="s">
        <v>222</v>
      </c>
      <c r="F40" s="33" t="s">
        <v>438</v>
      </c>
      <c r="G40" s="33" t="s">
        <v>439</v>
      </c>
      <c r="H40" s="34"/>
      <c r="I40" s="34"/>
      <c r="J40" s="34"/>
      <c r="K40" s="34"/>
      <c r="L40" s="34"/>
      <c r="M40" s="33" t="s">
        <v>196</v>
      </c>
      <c r="N40" s="38"/>
      <c r="O40" s="38"/>
      <c r="P40" s="38"/>
      <c r="Q40" s="38"/>
      <c r="R40" s="38"/>
      <c r="S40" s="38"/>
      <c r="T40" s="38"/>
      <c r="U40" s="33" t="s">
        <v>237</v>
      </c>
      <c r="V40" s="38"/>
      <c r="W40" s="38"/>
      <c r="X40" s="38"/>
      <c r="Y40" s="38"/>
      <c r="Z40" s="38"/>
      <c r="AA40" s="38"/>
      <c r="AB40" s="38"/>
      <c r="AC40" s="38"/>
      <c r="AD40" s="2"/>
      <c r="AE40" s="2"/>
      <c r="AF40" s="2"/>
      <c r="AG40" s="2"/>
    </row>
    <row r="41" spans="1:33" ht="37.5" customHeight="1">
      <c r="A41" s="44" t="s">
        <v>173</v>
      </c>
      <c r="B41" s="32" t="s">
        <v>180</v>
      </c>
      <c r="C41" s="32" t="s">
        <v>70</v>
      </c>
      <c r="D41" s="33" t="s">
        <v>63</v>
      </c>
      <c r="E41" s="51" t="s">
        <v>443</v>
      </c>
      <c r="F41" s="33" t="s">
        <v>446</v>
      </c>
      <c r="G41" s="33" t="s">
        <v>439</v>
      </c>
      <c r="H41" s="34"/>
      <c r="I41" s="34"/>
      <c r="J41" s="34"/>
      <c r="K41" s="34"/>
      <c r="L41" s="34"/>
      <c r="M41" s="33" t="s">
        <v>196</v>
      </c>
      <c r="N41" s="38"/>
      <c r="O41" s="38"/>
      <c r="P41" s="38"/>
      <c r="Q41" s="38"/>
      <c r="R41" s="38"/>
      <c r="S41" s="38"/>
      <c r="T41" s="38"/>
      <c r="U41" s="33" t="s">
        <v>207</v>
      </c>
      <c r="V41" s="38"/>
      <c r="W41" s="38"/>
      <c r="X41" s="38"/>
      <c r="Y41" s="38"/>
      <c r="Z41" s="38"/>
      <c r="AA41" s="38"/>
      <c r="AB41" s="38"/>
      <c r="AC41" s="38"/>
      <c r="AD41" s="2"/>
      <c r="AE41" s="2"/>
      <c r="AF41" s="2"/>
      <c r="AG41" s="2"/>
    </row>
    <row r="42" spans="1:33" ht="45.6">
      <c r="A42" s="44" t="s">
        <v>173</v>
      </c>
      <c r="B42" s="32" t="s">
        <v>408</v>
      </c>
      <c r="C42" s="32" t="s">
        <v>70</v>
      </c>
      <c r="D42" s="33" t="s">
        <v>63</v>
      </c>
      <c r="E42" s="33" t="s">
        <v>257</v>
      </c>
      <c r="F42" s="36" t="s">
        <v>451</v>
      </c>
      <c r="G42" s="33" t="s">
        <v>452</v>
      </c>
      <c r="H42" s="38"/>
      <c r="I42" s="38"/>
      <c r="J42" s="38"/>
      <c r="K42" s="38"/>
      <c r="L42" s="38"/>
      <c r="M42" s="33" t="s">
        <v>196</v>
      </c>
      <c r="N42" s="38"/>
      <c r="O42" s="38"/>
      <c r="P42" s="38"/>
      <c r="Q42" s="38"/>
      <c r="R42" s="38"/>
      <c r="S42" s="38"/>
      <c r="T42" s="38"/>
      <c r="U42" s="33" t="s">
        <v>197</v>
      </c>
      <c r="V42" s="38"/>
      <c r="W42" s="38"/>
      <c r="X42" s="38"/>
      <c r="Y42" s="38"/>
      <c r="Z42" s="38"/>
      <c r="AA42" s="38"/>
      <c r="AB42" s="38"/>
      <c r="AC42" s="38"/>
    </row>
    <row r="43" spans="1:33" ht="37.5" customHeight="1"/>
    <row r="44" spans="1:33" ht="37.5" customHeight="1"/>
    <row r="45" spans="1:33" ht="37.5" customHeight="1"/>
    <row r="46" spans="1:33" ht="30" customHeight="1">
      <c r="A46" s="53"/>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ht="30" customHeight="1">
      <c r="A47" s="53"/>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ht="30" customHeight="1">
      <c r="A48" s="53"/>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ht="30" customHeight="1">
      <c r="A49" s="53"/>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ht="30" customHeight="1">
      <c r="A50" s="53"/>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ht="30" customHeight="1">
      <c r="A51" s="53"/>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ht="30" customHeight="1">
      <c r="A52" s="53"/>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ht="30" customHeight="1">
      <c r="A53" s="53"/>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ht="30" customHeight="1">
      <c r="A54" s="53"/>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ht="30" customHeight="1">
      <c r="A55" s="53"/>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ht="30" customHeight="1">
      <c r="A56" s="53"/>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ht="30" customHeight="1">
      <c r="A57" s="53"/>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ht="30" customHeight="1">
      <c r="A58" s="53"/>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ht="30" customHeight="1">
      <c r="A59" s="53"/>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ht="30" customHeight="1">
      <c r="A60" s="53"/>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ht="30" customHeight="1">
      <c r="A61" s="53"/>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ht="30" customHeight="1">
      <c r="A62" s="53"/>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ht="30" customHeight="1">
      <c r="A63" s="53"/>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ht="30" customHeight="1">
      <c r="A64" s="53"/>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ht="30" customHeight="1">
      <c r="A65" s="53"/>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ht="30" customHeight="1">
      <c r="A66" s="53"/>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ht="30" customHeight="1">
      <c r="A67" s="53"/>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ht="30" customHeight="1">
      <c r="A68" s="53"/>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ht="30" customHeight="1">
      <c r="A69" s="53"/>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ht="30" customHeight="1">
      <c r="A70" s="53"/>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ht="30" customHeight="1">
      <c r="A71" s="53"/>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ht="30" customHeight="1">
      <c r="A72" s="53"/>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ht="30" customHeight="1">
      <c r="A73" s="53"/>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ht="30" customHeight="1">
      <c r="A74" s="53"/>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ht="30" customHeight="1">
      <c r="A75" s="53"/>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ht="30" customHeight="1">
      <c r="A76" s="53"/>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ht="30" customHeight="1">
      <c r="A77" s="53"/>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ht="30" customHeight="1">
      <c r="A78" s="5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30" customHeight="1">
      <c r="A79" s="53"/>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30" customHeight="1">
      <c r="A80" s="53"/>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ht="30" customHeight="1">
      <c r="A81" s="53"/>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ht="30" customHeight="1">
      <c r="A82" s="53"/>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ht="30" customHeight="1">
      <c r="A83" s="53"/>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ht="30" customHeight="1">
      <c r="A84" s="53"/>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ht="30" customHeight="1">
      <c r="A85" s="53"/>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ht="30" customHeight="1">
      <c r="A86" s="53"/>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ht="30" customHeight="1">
      <c r="A87" s="53"/>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ht="30" customHeight="1">
      <c r="A88" s="53"/>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ht="30" customHeight="1">
      <c r="A89" s="53"/>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ht="30" customHeight="1">
      <c r="A90" s="53"/>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ht="30" customHeight="1">
      <c r="A91" s="53"/>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ht="30" customHeight="1">
      <c r="A92" s="53"/>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ht="30" customHeight="1">
      <c r="A93" s="53"/>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ht="30" customHeight="1">
      <c r="A94" s="53"/>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ht="30" customHeight="1">
      <c r="A95" s="53"/>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ht="30" customHeight="1">
      <c r="A96" s="53"/>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ht="30" customHeight="1">
      <c r="A97" s="53"/>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ht="30" customHeight="1">
      <c r="A98" s="53"/>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ht="30" customHeight="1">
      <c r="A99" s="53"/>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ht="30" customHeight="1">
      <c r="A100" s="53"/>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30" customHeight="1">
      <c r="A101" s="53"/>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ht="30" customHeight="1">
      <c r="A102" s="53"/>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ht="30" customHeight="1">
      <c r="A103" s="5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ht="30" customHeight="1">
      <c r="A104" s="53"/>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ht="30" customHeight="1">
      <c r="A105" s="53"/>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ht="30" customHeight="1">
      <c r="A106" s="53"/>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ht="30" customHeight="1">
      <c r="A107" s="53"/>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30" customHeight="1">
      <c r="A108" s="53"/>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ht="30" customHeight="1">
      <c r="A109" s="5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ht="30" customHeight="1">
      <c r="A110" s="53"/>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ht="30" customHeight="1">
      <c r="A111" s="53"/>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ht="30" customHeight="1">
      <c r="A112" s="53"/>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ht="30" customHeight="1">
      <c r="A113" s="5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ht="30" customHeight="1">
      <c r="A114" s="5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ht="13.8">
      <c r="A115" s="5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ht="13.8">
      <c r="A116" s="53"/>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ht="13.8">
      <c r="A117" s="53"/>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ht="13.8">
      <c r="A118" s="53"/>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ht="13.8">
      <c r="A119" s="53"/>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ht="13.8">
      <c r="A120" s="53"/>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ht="13.8">
      <c r="A121" s="53"/>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ht="13.8">
      <c r="A122" s="53"/>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ht="13.8">
      <c r="A123" s="5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ht="13.8">
      <c r="A124" s="53"/>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ht="13.8">
      <c r="A125" s="53"/>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ht="13.8">
      <c r="A126" s="53"/>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ht="13.8">
      <c r="A127" s="53"/>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ht="13.8">
      <c r="A128" s="53"/>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ht="13.8">
      <c r="A129" s="53"/>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ht="13.8">
      <c r="A130" s="5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ht="13.8">
      <c r="A131" s="53"/>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ht="13.8">
      <c r="A132" s="53"/>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ht="13.8">
      <c r="A133" s="5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ht="13.8">
      <c r="A134" s="53"/>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ht="13.8">
      <c r="A135" s="53"/>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ht="13.8">
      <c r="A136" s="53"/>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ht="13.8">
      <c r="A137" s="53"/>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ht="13.8">
      <c r="A138" s="53"/>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ht="13.8">
      <c r="A139" s="53"/>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ht="13.8">
      <c r="A140" s="53"/>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ht="13.8">
      <c r="A141" s="53"/>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ht="13.8">
      <c r="A142" s="53"/>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ht="13.8">
      <c r="A143" s="5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ht="13.8">
      <c r="A144" s="53"/>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ht="13.8">
      <c r="A145" s="53"/>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ht="13.8">
      <c r="A146" s="53"/>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ht="13.8">
      <c r="A147" s="53"/>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ht="13.8">
      <c r="A148" s="53"/>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ht="13.8">
      <c r="A149" s="53"/>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ht="13.8">
      <c r="A150" s="53"/>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ht="13.8">
      <c r="A151" s="53"/>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ht="13.8">
      <c r="A152" s="53"/>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ht="13.8">
      <c r="A153" s="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ht="13.8">
      <c r="A154" s="53"/>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ht="13.8">
      <c r="A155" s="53"/>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ht="13.8">
      <c r="A156" s="53"/>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ht="13.8">
      <c r="A157" s="53"/>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ht="13.8">
      <c r="A158" s="53"/>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ht="13.8">
      <c r="A159" s="53"/>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ht="13.8">
      <c r="A160" s="53"/>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ht="13.8">
      <c r="A161" s="53"/>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ht="13.8">
      <c r="A162" s="53"/>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ht="13.8">
      <c r="A163" s="5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ht="13.8">
      <c r="A164" s="53"/>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ht="13.8">
      <c r="A165" s="53"/>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ht="13.8">
      <c r="A166" s="53"/>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ht="13.8">
      <c r="A167" s="53"/>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ht="13.8">
      <c r="A168" s="53"/>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ht="13.8">
      <c r="A169" s="53"/>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ht="13.8">
      <c r="A170" s="53"/>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ht="13.8">
      <c r="A171" s="53"/>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ht="13.8">
      <c r="A172" s="53"/>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ht="13.8">
      <c r="A173" s="5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ht="13.8">
      <c r="A174" s="53"/>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ht="13.8">
      <c r="A175" s="53"/>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13.8">
      <c r="A176" s="53"/>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ht="13.8">
      <c r="A177" s="53"/>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13.8">
      <c r="A178" s="53"/>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ht="13.8">
      <c r="A179" s="53"/>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ht="13.8">
      <c r="A180" s="53"/>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ht="13.8">
      <c r="A181" s="53"/>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13.8">
      <c r="A182" s="53"/>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ht="13.8">
      <c r="A183" s="5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ht="13.8">
      <c r="A184" s="53"/>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13.8">
      <c r="A185" s="53"/>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ht="13.8">
      <c r="A186" s="53"/>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ht="13.8">
      <c r="A187" s="53"/>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ht="13.8">
      <c r="A188" s="53"/>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ht="13.8">
      <c r="A189" s="53"/>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ht="13.8">
      <c r="A190" s="53"/>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ht="13.8">
      <c r="A191" s="53"/>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13.8">
      <c r="A192" s="53"/>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ht="13.8">
      <c r="A193" s="5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ht="13.8">
      <c r="A194" s="53"/>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ht="13.8">
      <c r="A195" s="53"/>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ht="13.8">
      <c r="A196" s="53"/>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ht="13.8">
      <c r="A197" s="53"/>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ht="13.8">
      <c r="A198" s="53"/>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ht="13.8">
      <c r="A199" s="53"/>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ht="13.8">
      <c r="A200" s="53"/>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ht="13.8">
      <c r="A201" s="53"/>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13.8">
      <c r="A202" s="53"/>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ht="13.8">
      <c r="A203" s="5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ht="13.8">
      <c r="A204" s="53"/>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ht="13.8">
      <c r="A205" s="53"/>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ht="13.8">
      <c r="A206" s="53"/>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ht="13.8">
      <c r="A207" s="53"/>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ht="13.8">
      <c r="A208" s="53"/>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ht="13.8">
      <c r="A209" s="53"/>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13.8">
      <c r="A210" s="53"/>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13.8">
      <c r="A211" s="53"/>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13.8">
      <c r="A212" s="53"/>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13.8">
      <c r="A213" s="5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13.8">
      <c r="A214" s="53"/>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13.8">
      <c r="A215" s="53"/>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13.8">
      <c r="A216" s="53"/>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ht="13.8">
      <c r="A217" s="53"/>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ht="13.8">
      <c r="A218" s="53"/>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ht="13.8">
      <c r="A219" s="53"/>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ht="13.8">
      <c r="A220" s="53"/>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ht="13.8">
      <c r="A221" s="53"/>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ht="13.8">
      <c r="A222" s="53"/>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ht="13.8">
      <c r="A223" s="5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ht="13.8">
      <c r="A224" s="53"/>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ht="13.8">
      <c r="A225" s="53"/>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ht="13.8">
      <c r="A226" s="53"/>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ht="13.8">
      <c r="A227" s="53"/>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ht="13.8">
      <c r="A228" s="53"/>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ht="13.8">
      <c r="A229" s="53"/>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ht="13.8">
      <c r="A230" s="53"/>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ht="13.8">
      <c r="A231" s="53"/>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ht="13.8">
      <c r="A232" s="53"/>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ht="13.8">
      <c r="A233" s="5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ht="13.8">
      <c r="A234" s="53"/>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ht="13.8">
      <c r="A235" s="53"/>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ht="13.8">
      <c r="A236" s="53"/>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ht="13.8">
      <c r="A237" s="53"/>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ht="13.8">
      <c r="A238" s="53"/>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ht="13.8">
      <c r="A239" s="53"/>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ht="13.8">
      <c r="A240" s="53"/>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ht="13.8">
      <c r="A241" s="53"/>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ht="13.8">
      <c r="A242" s="53"/>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ht="13.8">
      <c r="A243" s="5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ht="13.8">
      <c r="A244" s="53"/>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ht="13.8">
      <c r="A245" s="53"/>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ht="13.8">
      <c r="A246" s="53"/>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ht="13.8">
      <c r="A247" s="53"/>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ht="13.8">
      <c r="A248" s="53"/>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ht="13.8">
      <c r="A249" s="53"/>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ht="13.8">
      <c r="A250" s="53"/>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ht="13.8">
      <c r="A251" s="53"/>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ht="13.8">
      <c r="A252" s="53"/>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ht="13.8">
      <c r="A253" s="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ht="13.8">
      <c r="A254" s="53"/>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ht="13.8">
      <c r="A255" s="53"/>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ht="13.8">
      <c r="A256" s="53"/>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ht="13.8">
      <c r="A257" s="53"/>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ht="13.8">
      <c r="A258" s="53"/>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ht="13.8">
      <c r="A259" s="53"/>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ht="13.8">
      <c r="A260" s="53"/>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ht="13.8">
      <c r="A261" s="53"/>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ht="13.8">
      <c r="A262" s="53"/>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ht="13.8">
      <c r="A263" s="5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ht="13.8">
      <c r="A264" s="53"/>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ht="13.8">
      <c r="A265" s="53"/>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ht="13.8">
      <c r="A266" s="53"/>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ht="13.8">
      <c r="A267" s="53"/>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ht="13.8">
      <c r="A268" s="53"/>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ht="13.8">
      <c r="A269" s="53"/>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ht="13.8">
      <c r="A270" s="53"/>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ht="13.8">
      <c r="A271" s="53"/>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ht="13.8">
      <c r="A272" s="53"/>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ht="13.8">
      <c r="A273" s="5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ht="13.8">
      <c r="A274" s="53"/>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ht="13.8">
      <c r="A275" s="53"/>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ht="13.8">
      <c r="A276" s="53"/>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ht="13.8">
      <c r="A277" s="53"/>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ht="13.8">
      <c r="A278" s="53"/>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ht="13.8">
      <c r="A279" s="53"/>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ht="13.8">
      <c r="A280" s="53"/>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ht="13.8">
      <c r="A281" s="53"/>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ht="13.8">
      <c r="A282" s="53"/>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ht="13.8">
      <c r="A283" s="5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ht="13.8">
      <c r="A284" s="53"/>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ht="13.8">
      <c r="A285" s="53"/>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ht="13.8">
      <c r="A286" s="53"/>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ht="13.8">
      <c r="A287" s="53"/>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ht="13.8">
      <c r="A288" s="53"/>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ht="13.8">
      <c r="A289" s="53"/>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ht="13.8">
      <c r="A290" s="53"/>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ht="13.8">
      <c r="A291" s="53"/>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ht="13.8">
      <c r="A292" s="53"/>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ht="13.8">
      <c r="A293" s="5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ht="13.8">
      <c r="A294" s="53"/>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ht="13.8">
      <c r="A295" s="53"/>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ht="13.8">
      <c r="A296" s="53"/>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ht="13.8">
      <c r="A297" s="53"/>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ht="13.8">
      <c r="A298" s="53"/>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ht="13.8">
      <c r="A299" s="53"/>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ht="13.8">
      <c r="A300" s="53"/>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ht="13.8">
      <c r="A301" s="53"/>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ht="13.8">
      <c r="A302" s="53"/>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ht="13.8">
      <c r="A303" s="5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ht="13.8">
      <c r="A304" s="53"/>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ht="13.8">
      <c r="A305" s="53"/>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ht="13.8">
      <c r="A306" s="53"/>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ht="13.8">
      <c r="A307" s="53"/>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ht="13.8">
      <c r="A308" s="53"/>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ht="13.8">
      <c r="A309" s="53"/>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ht="13.8">
      <c r="A310" s="53"/>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ht="13.8">
      <c r="A311" s="53"/>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3.8">
      <c r="A312" s="53"/>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3.8">
      <c r="A313" s="5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ht="13.8">
      <c r="A314" s="53"/>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ht="13.8">
      <c r="A315" s="53"/>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ht="13.8">
      <c r="A316" s="53"/>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ht="13.8">
      <c r="A317" s="53"/>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ht="13.8">
      <c r="A318" s="53"/>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ht="13.8">
      <c r="A319" s="53"/>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ht="13.8">
      <c r="A320" s="53"/>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ht="13.8">
      <c r="A321" s="53"/>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ht="13.8">
      <c r="A322" s="53"/>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ht="13.8">
      <c r="A323" s="5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ht="13.8">
      <c r="A324" s="53"/>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ht="13.8">
      <c r="A325" s="53"/>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ht="13.8">
      <c r="A326" s="53"/>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ht="13.8">
      <c r="A327" s="53"/>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ht="13.8">
      <c r="A328" s="53"/>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ht="13.8">
      <c r="A329" s="53"/>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ht="13.8">
      <c r="A330" s="53"/>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ht="13.8">
      <c r="A331" s="53"/>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ht="13.8">
      <c r="A332" s="53"/>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ht="13.8">
      <c r="A333" s="5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ht="13.8">
      <c r="A334" s="53"/>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ht="13.8">
      <c r="A335" s="53"/>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ht="13.8">
      <c r="A336" s="53"/>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ht="13.8">
      <c r="A337" s="53"/>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ht="13.8">
      <c r="A338" s="53"/>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ht="13.8">
      <c r="A339" s="53"/>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ht="13.8">
      <c r="A340" s="53"/>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ht="13.8">
      <c r="A341" s="53"/>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ht="13.8">
      <c r="A342" s="53"/>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ht="13.8">
      <c r="A343" s="5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ht="13.8">
      <c r="A344" s="53"/>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ht="13.8">
      <c r="A345" s="53"/>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ht="13.8">
      <c r="A346" s="53"/>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ht="13.8">
      <c r="A347" s="53"/>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ht="13.8">
      <c r="A348" s="53"/>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ht="13.8">
      <c r="A349" s="53"/>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ht="13.8">
      <c r="A350" s="53"/>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ht="13.8">
      <c r="A351" s="53"/>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ht="13.8">
      <c r="A352" s="53"/>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ht="13.8">
      <c r="A353" s="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ht="13.8">
      <c r="A354" s="53"/>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ht="13.8">
      <c r="A355" s="53"/>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ht="13.8">
      <c r="A356" s="53"/>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ht="13.8">
      <c r="A357" s="53"/>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ht="13.8">
      <c r="A358" s="53"/>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ht="13.8">
      <c r="A359" s="53"/>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ht="13.8">
      <c r="A360" s="53"/>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ht="13.8">
      <c r="A361" s="53"/>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ht="13.8">
      <c r="A362" s="53"/>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ht="13.8">
      <c r="A363" s="5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ht="13.8">
      <c r="A364" s="53"/>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ht="13.8">
      <c r="A365" s="53"/>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ht="13.8">
      <c r="A366" s="53"/>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ht="13.8">
      <c r="A367" s="53"/>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ht="13.8">
      <c r="A368" s="53"/>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ht="13.8">
      <c r="A369" s="53"/>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ht="13.8">
      <c r="A370" s="53"/>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ht="13.8">
      <c r="A371" s="53"/>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ht="13.8">
      <c r="A372" s="53"/>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ht="13.8">
      <c r="A373" s="5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ht="13.8">
      <c r="A374" s="53"/>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ht="13.8">
      <c r="A375" s="53"/>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ht="13.8">
      <c r="A376" s="53"/>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ht="13.8">
      <c r="A377" s="53"/>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ht="13.8">
      <c r="A378" s="53"/>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ht="13.8">
      <c r="A379" s="53"/>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ht="13.8">
      <c r="A380" s="53"/>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ht="13.8">
      <c r="A381" s="53"/>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ht="13.8">
      <c r="A382" s="53"/>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ht="13.8">
      <c r="A383" s="5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ht="13.8">
      <c r="A384" s="53"/>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ht="13.8">
      <c r="A385" s="53"/>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ht="13.8">
      <c r="A386" s="53"/>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ht="13.8">
      <c r="A387" s="53"/>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ht="13.8">
      <c r="A388" s="53"/>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ht="13.8">
      <c r="A389" s="53"/>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ht="13.8">
      <c r="A390" s="53"/>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ht="13.8">
      <c r="A391" s="53"/>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ht="13.8">
      <c r="A392" s="53"/>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ht="13.8">
      <c r="A393" s="5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ht="13.8">
      <c r="A394" s="53"/>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ht="13.8">
      <c r="A395" s="53"/>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ht="13.8">
      <c r="A396" s="53"/>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ht="13.8">
      <c r="A397" s="53"/>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ht="13.8">
      <c r="A398" s="53"/>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ht="13.8">
      <c r="A399" s="53"/>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ht="13.8">
      <c r="A400" s="53"/>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ht="13.8">
      <c r="A401" s="53"/>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ht="13.8">
      <c r="A402" s="53"/>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ht="13.8">
      <c r="A403" s="5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ht="13.8">
      <c r="A404" s="53"/>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ht="13.8">
      <c r="A405" s="53"/>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ht="13.8">
      <c r="A406" s="53"/>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ht="13.8">
      <c r="A407" s="53"/>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ht="13.8">
      <c r="A408" s="53"/>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ht="13.8">
      <c r="A409" s="53"/>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ht="13.8">
      <c r="A410" s="53"/>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ht="13.8">
      <c r="A411" s="53"/>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ht="13.8">
      <c r="A412" s="53"/>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ht="13.8">
      <c r="A413" s="5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ht="13.8">
      <c r="A414" s="53"/>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ht="13.8">
      <c r="A415" s="53"/>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ht="13.8">
      <c r="A416" s="53"/>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ht="13.8">
      <c r="A417" s="53"/>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ht="13.8">
      <c r="A418" s="53"/>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ht="13.8">
      <c r="A419" s="53"/>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ht="13.8">
      <c r="A420" s="53"/>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ht="13.8">
      <c r="A421" s="53"/>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ht="13.8">
      <c r="A422" s="53"/>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ht="13.8">
      <c r="A423" s="5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ht="13.8">
      <c r="A424" s="53"/>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ht="13.8">
      <c r="A425" s="53"/>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ht="13.8">
      <c r="A426" s="53"/>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ht="13.8">
      <c r="A427" s="53"/>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ht="13.8">
      <c r="A428" s="53"/>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ht="13.8">
      <c r="A429" s="53"/>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ht="13.8">
      <c r="A430" s="53"/>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ht="13.8">
      <c r="A431" s="53"/>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ht="13.8">
      <c r="A432" s="53"/>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ht="13.8">
      <c r="A433" s="5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ht="13.8">
      <c r="A434" s="53"/>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ht="13.8">
      <c r="A435" s="53"/>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ht="13.8">
      <c r="A436" s="53"/>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ht="13.8">
      <c r="A437" s="53"/>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ht="13.8">
      <c r="A438" s="53"/>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ht="13.8">
      <c r="A439" s="53"/>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ht="13.8">
      <c r="A440" s="53"/>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ht="13.8">
      <c r="A441" s="53"/>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ht="13.8">
      <c r="A442" s="53"/>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ht="13.8">
      <c r="A443" s="5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ht="13.8">
      <c r="A444" s="53"/>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ht="13.8">
      <c r="A445" s="53"/>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ht="13.8">
      <c r="A446" s="53"/>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ht="13.8">
      <c r="A447" s="53"/>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ht="13.8">
      <c r="A448" s="53"/>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ht="13.8">
      <c r="A449" s="53"/>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ht="13.8">
      <c r="A450" s="53"/>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ht="13.8">
      <c r="A451" s="53"/>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ht="13.8">
      <c r="A452" s="53"/>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ht="13.8">
      <c r="A453" s="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ht="13.8">
      <c r="A454" s="53"/>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ht="13.8">
      <c r="A455" s="53"/>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ht="13.8">
      <c r="A456" s="53"/>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ht="13.8">
      <c r="A457" s="53"/>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ht="13.8">
      <c r="A458" s="53"/>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ht="13.8">
      <c r="A459" s="53"/>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ht="13.8">
      <c r="A460" s="53"/>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ht="13.8">
      <c r="A461" s="53"/>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ht="13.8">
      <c r="A462" s="53"/>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ht="13.8">
      <c r="A463" s="5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ht="13.8">
      <c r="A464" s="53"/>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ht="13.8">
      <c r="A465" s="53"/>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ht="13.8">
      <c r="A466" s="53"/>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ht="13.8">
      <c r="A467" s="53"/>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ht="13.8">
      <c r="A468" s="53"/>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ht="13.8">
      <c r="A469" s="53"/>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ht="13.8">
      <c r="A470" s="53"/>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ht="13.8">
      <c r="A471" s="53"/>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ht="13.8">
      <c r="A472" s="53"/>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ht="13.8">
      <c r="A473" s="5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ht="13.8">
      <c r="A474" s="53"/>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ht="13.8">
      <c r="A475" s="53"/>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ht="13.8">
      <c r="A476" s="53"/>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ht="13.8">
      <c r="A477" s="53"/>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ht="13.8">
      <c r="A478" s="53"/>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ht="13.8">
      <c r="A479" s="53"/>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ht="13.8">
      <c r="A480" s="53"/>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ht="13.8">
      <c r="A481" s="53"/>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ht="13.8">
      <c r="A482" s="53"/>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ht="13.8">
      <c r="A483" s="5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ht="13.8">
      <c r="A484" s="53"/>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ht="13.8">
      <c r="A485" s="53"/>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ht="13.8">
      <c r="A486" s="53"/>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ht="13.8">
      <c r="A487" s="53"/>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ht="13.8">
      <c r="A488" s="53"/>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ht="13.8">
      <c r="A489" s="53"/>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ht="13.8">
      <c r="A490" s="53"/>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ht="13.8">
      <c r="A491" s="53"/>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ht="13.8">
      <c r="A492" s="53"/>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ht="13.8">
      <c r="A493" s="5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ht="13.8">
      <c r="A494" s="53"/>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ht="13.8">
      <c r="A495" s="53"/>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ht="13.8">
      <c r="A496" s="53"/>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ht="13.8">
      <c r="A497" s="53"/>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ht="13.8">
      <c r="A498" s="53"/>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ht="13.8">
      <c r="A499" s="53"/>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ht="13.8">
      <c r="A500" s="53"/>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ht="13.8">
      <c r="A501" s="53"/>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ht="13.8">
      <c r="A502" s="53"/>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ht="13.8">
      <c r="A503" s="5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ht="13.8">
      <c r="A504" s="53"/>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ht="13.8">
      <c r="A505" s="53"/>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ht="13.8">
      <c r="A506" s="53"/>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ht="13.8">
      <c r="A507" s="53"/>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ht="13.8">
      <c r="A508" s="53"/>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ht="13.8">
      <c r="A509" s="53"/>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ht="13.8">
      <c r="A510" s="53"/>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ht="13.8">
      <c r="A511" s="53"/>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ht="13.8">
      <c r="A512" s="53"/>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ht="13.8">
      <c r="A513" s="5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ht="13.8">
      <c r="A514" s="53"/>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ht="13.8">
      <c r="A515" s="53"/>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ht="13.8">
      <c r="A516" s="53"/>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ht="13.8">
      <c r="A517" s="53"/>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ht="13.8">
      <c r="A518" s="53"/>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ht="13.8">
      <c r="A519" s="53"/>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ht="13.8">
      <c r="A520" s="53"/>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ht="13.8">
      <c r="A521" s="53"/>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ht="13.8">
      <c r="A522" s="53"/>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ht="13.8">
      <c r="A523" s="5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ht="13.8">
      <c r="A524" s="53"/>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ht="13.8">
      <c r="A525" s="53"/>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ht="13.8">
      <c r="A526" s="53"/>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ht="13.8">
      <c r="A527" s="53"/>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ht="13.8">
      <c r="A528" s="53"/>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ht="13.8">
      <c r="A529" s="53"/>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ht="13.8">
      <c r="A530" s="53"/>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ht="13.8">
      <c r="A531" s="53"/>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ht="13.8">
      <c r="A532" s="53"/>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ht="13.8">
      <c r="A533" s="5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ht="13.8">
      <c r="A534" s="53"/>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ht="13.8">
      <c r="A535" s="53"/>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ht="13.8">
      <c r="A536" s="53"/>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ht="13.8">
      <c r="A537" s="53"/>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ht="13.8">
      <c r="A538" s="53"/>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ht="13.8">
      <c r="A539" s="53"/>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ht="13.8">
      <c r="A540" s="53"/>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ht="13.8">
      <c r="A541" s="53"/>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ht="13.8">
      <c r="A542" s="53"/>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ht="13.8">
      <c r="A543" s="5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ht="13.8">
      <c r="A544" s="53"/>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ht="13.8">
      <c r="A545" s="53"/>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ht="13.8">
      <c r="A546" s="53"/>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ht="13.8">
      <c r="A547" s="53"/>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ht="13.8">
      <c r="A548" s="53"/>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ht="13.8">
      <c r="A549" s="53"/>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ht="13.8">
      <c r="A550" s="53"/>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ht="13.8">
      <c r="A551" s="53"/>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ht="13.8">
      <c r="A552" s="53"/>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ht="13.8">
      <c r="A553" s="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ht="13.8">
      <c r="A554" s="53"/>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ht="13.8">
      <c r="A555" s="53"/>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ht="13.8">
      <c r="A556" s="53"/>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ht="13.8">
      <c r="A557" s="53"/>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ht="13.8">
      <c r="A558" s="53"/>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ht="13.8">
      <c r="A559" s="53"/>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ht="13.8">
      <c r="A560" s="53"/>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ht="13.8">
      <c r="A561" s="53"/>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ht="13.8">
      <c r="A562" s="53"/>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ht="13.8">
      <c r="A563" s="5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ht="13.8">
      <c r="A564" s="53"/>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ht="13.8">
      <c r="A565" s="53"/>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ht="13.8">
      <c r="A566" s="53"/>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ht="13.8">
      <c r="A567" s="53"/>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ht="13.8">
      <c r="A568" s="53"/>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ht="13.8">
      <c r="A569" s="53"/>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ht="13.8">
      <c r="A570" s="53"/>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ht="13.8">
      <c r="A571" s="53"/>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ht="13.8">
      <c r="A572" s="53"/>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ht="13.8">
      <c r="A573" s="5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ht="13.8">
      <c r="A574" s="53"/>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ht="13.8">
      <c r="A575" s="53"/>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ht="13.8">
      <c r="A576" s="53"/>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ht="13.8">
      <c r="A577" s="53"/>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ht="13.8">
      <c r="A578" s="53"/>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ht="13.8">
      <c r="A579" s="53"/>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ht="13.8">
      <c r="A580" s="53"/>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ht="13.8">
      <c r="A581" s="53"/>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ht="13.8">
      <c r="A582" s="53"/>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ht="13.8">
      <c r="A583" s="5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ht="13.8">
      <c r="A584" s="53"/>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ht="13.8">
      <c r="A585" s="53"/>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ht="13.8">
      <c r="A586" s="53"/>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ht="13.8">
      <c r="A587" s="53"/>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ht="13.8">
      <c r="A588" s="53"/>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ht="13.8">
      <c r="A589" s="53"/>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ht="13.8">
      <c r="A590" s="53"/>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ht="13.8">
      <c r="A591" s="53"/>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ht="13.8">
      <c r="A592" s="53"/>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ht="13.8">
      <c r="A593" s="5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ht="13.8">
      <c r="A594" s="53"/>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ht="13.8">
      <c r="A595" s="53"/>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ht="13.8">
      <c r="A596" s="53"/>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ht="13.8">
      <c r="A597" s="53"/>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ht="13.8">
      <c r="A598" s="53"/>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ht="13.8">
      <c r="A599" s="53"/>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ht="13.8">
      <c r="A600" s="53"/>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ht="13.8">
      <c r="A601" s="53"/>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ht="13.8">
      <c r="A602" s="53"/>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ht="13.8">
      <c r="A603" s="5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ht="13.8">
      <c r="A604" s="53"/>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ht="13.8">
      <c r="A605" s="53"/>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ht="13.8">
      <c r="A606" s="53"/>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ht="13.8">
      <c r="A607" s="53"/>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ht="13.8">
      <c r="A608" s="53"/>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ht="13.8">
      <c r="A609" s="53"/>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ht="13.8">
      <c r="A610" s="53"/>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ht="13.8">
      <c r="A611" s="53"/>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ht="13.8">
      <c r="A612" s="53"/>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ht="13.8">
      <c r="A613" s="5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ht="13.8">
      <c r="A614" s="53"/>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ht="13.8">
      <c r="A615" s="53"/>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ht="13.8">
      <c r="A616" s="53"/>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ht="13.8">
      <c r="A617" s="53"/>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ht="13.8">
      <c r="A618" s="53"/>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ht="13.8">
      <c r="A619" s="53"/>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ht="13.8">
      <c r="A620" s="53"/>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ht="13.8">
      <c r="A621" s="53"/>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ht="13.8">
      <c r="A622" s="53"/>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ht="13.8">
      <c r="A623" s="5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ht="13.8">
      <c r="A624" s="53"/>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ht="13.8">
      <c r="A625" s="53"/>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ht="13.8">
      <c r="A626" s="53"/>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ht="13.8">
      <c r="A627" s="53"/>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ht="13.8">
      <c r="A628" s="53"/>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ht="13.8">
      <c r="A629" s="53"/>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ht="13.8">
      <c r="A630" s="53"/>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ht="13.8">
      <c r="A631" s="53"/>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ht="13.8">
      <c r="A632" s="53"/>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ht="13.8">
      <c r="A633" s="5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ht="13.8">
      <c r="A634" s="53"/>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ht="13.8">
      <c r="A635" s="53"/>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ht="13.8">
      <c r="A636" s="53"/>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ht="13.8">
      <c r="A637" s="53"/>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ht="13.8">
      <c r="A638" s="53"/>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ht="13.8">
      <c r="A639" s="53"/>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ht="13.8">
      <c r="A640" s="53"/>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ht="13.8">
      <c r="A641" s="53"/>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ht="13.8">
      <c r="A642" s="53"/>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ht="13.8">
      <c r="A643" s="5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ht="13.8">
      <c r="A644" s="53"/>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ht="13.8">
      <c r="A645" s="53"/>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ht="13.8">
      <c r="A646" s="53"/>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ht="13.8">
      <c r="A647" s="53"/>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ht="13.8">
      <c r="A648" s="53"/>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ht="13.8">
      <c r="A649" s="53"/>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ht="13.8">
      <c r="A650" s="53"/>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ht="13.8">
      <c r="A651" s="53"/>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ht="13.8">
      <c r="A652" s="53"/>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ht="13.8">
      <c r="A653" s="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ht="13.8">
      <c r="A654" s="53"/>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ht="13.8">
      <c r="A655" s="53"/>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ht="13.8">
      <c r="A656" s="53"/>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ht="13.8">
      <c r="A657" s="53"/>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ht="13.8">
      <c r="A658" s="53"/>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ht="13.8">
      <c r="A659" s="53"/>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ht="13.8">
      <c r="A660" s="53"/>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ht="13.8">
      <c r="A661" s="53"/>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ht="13.8">
      <c r="A662" s="53"/>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ht="13.8">
      <c r="A663" s="5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ht="13.8">
      <c r="A664" s="53"/>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ht="13.8">
      <c r="A665" s="53"/>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ht="13.8">
      <c r="A666" s="53"/>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ht="13.8">
      <c r="A667" s="53"/>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ht="13.8">
      <c r="A668" s="53"/>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ht="13.8">
      <c r="A669" s="53"/>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ht="13.8">
      <c r="A670" s="53"/>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ht="13.8">
      <c r="A671" s="53"/>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ht="13.8">
      <c r="A672" s="53"/>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ht="13.8">
      <c r="A673" s="5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ht="13.8">
      <c r="A674" s="53"/>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ht="13.8">
      <c r="A675" s="53"/>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ht="13.8">
      <c r="A676" s="53"/>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ht="13.8">
      <c r="A677" s="53"/>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ht="13.8">
      <c r="A678" s="53"/>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ht="13.8">
      <c r="A679" s="53"/>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ht="13.8">
      <c r="A680" s="53"/>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ht="13.8">
      <c r="A681" s="53"/>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ht="13.8">
      <c r="A682" s="53"/>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ht="13.8">
      <c r="A683" s="5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ht="13.8">
      <c r="A684" s="53"/>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ht="13.8">
      <c r="A685" s="53"/>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ht="13.8">
      <c r="A686" s="53"/>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ht="13.8">
      <c r="A687" s="53"/>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ht="13.8">
      <c r="A688" s="53"/>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ht="13.8">
      <c r="A689" s="53"/>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ht="13.8">
      <c r="A690" s="53"/>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ht="13.8">
      <c r="A691" s="53"/>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ht="13.8">
      <c r="A692" s="53"/>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ht="13.8">
      <c r="A693" s="5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ht="13.8">
      <c r="A694" s="53"/>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ht="13.8">
      <c r="A695" s="53"/>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ht="13.8">
      <c r="A696" s="53"/>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ht="13.8">
      <c r="A697" s="53"/>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ht="13.8">
      <c r="A698" s="53"/>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ht="13.8">
      <c r="A699" s="53"/>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ht="13.8">
      <c r="A700" s="53"/>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ht="13.8">
      <c r="A701" s="53"/>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ht="13.8">
      <c r="A702" s="53"/>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ht="13.8">
      <c r="A703" s="5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ht="13.8">
      <c r="A704" s="53"/>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ht="13.8">
      <c r="A705" s="53"/>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ht="13.8">
      <c r="A706" s="53"/>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ht="13.8">
      <c r="A707" s="53"/>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ht="13.8">
      <c r="A708" s="53"/>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ht="13.8">
      <c r="A709" s="53"/>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ht="13.8">
      <c r="A710" s="53"/>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ht="13.8">
      <c r="A711" s="53"/>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ht="13.8">
      <c r="A712" s="53"/>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ht="13.8">
      <c r="A713" s="5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ht="13.8">
      <c r="A714" s="53"/>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ht="13.8">
      <c r="A715" s="53"/>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ht="13.8">
      <c r="A716" s="53"/>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ht="13.8">
      <c r="A717" s="53"/>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ht="13.8">
      <c r="A718" s="53"/>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ht="13.8">
      <c r="A719" s="53"/>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ht="13.8">
      <c r="A720" s="53"/>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ht="13.8">
      <c r="A721" s="53"/>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ht="13.8">
      <c r="A722" s="53"/>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ht="13.8">
      <c r="A723" s="5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ht="13.8">
      <c r="A724" s="53"/>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ht="13.8">
      <c r="A725" s="53"/>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ht="13.8">
      <c r="A726" s="53"/>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ht="13.8">
      <c r="A727" s="53"/>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ht="13.8">
      <c r="A728" s="53"/>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ht="13.8">
      <c r="A729" s="53"/>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ht="13.8">
      <c r="A730" s="53"/>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ht="13.8">
      <c r="A731" s="53"/>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ht="13.8">
      <c r="A732" s="53"/>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ht="13.8">
      <c r="A733" s="5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ht="13.8">
      <c r="A734" s="53"/>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ht="13.8">
      <c r="A735" s="53"/>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ht="13.8">
      <c r="A736" s="53"/>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ht="13.8">
      <c r="A737" s="53"/>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ht="13.8">
      <c r="A738" s="53"/>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ht="13.8">
      <c r="A739" s="53"/>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ht="13.8">
      <c r="A740" s="53"/>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ht="13.8">
      <c r="A741" s="53"/>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ht="13.8">
      <c r="A742" s="53"/>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ht="13.8">
      <c r="A743" s="5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ht="13.8">
      <c r="A744" s="53"/>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ht="13.8">
      <c r="A745" s="53"/>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ht="13.8">
      <c r="A746" s="53"/>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ht="13.8">
      <c r="A747" s="53"/>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ht="13.8">
      <c r="A748" s="53"/>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ht="13.8">
      <c r="A749" s="53"/>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ht="13.8">
      <c r="A750" s="53"/>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ht="13.8">
      <c r="A751" s="53"/>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ht="13.8">
      <c r="A752" s="53"/>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ht="13.8">
      <c r="A753" s="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ht="13.8">
      <c r="A754" s="53"/>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ht="13.8">
      <c r="A755" s="53"/>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ht="13.8">
      <c r="A756" s="53"/>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ht="13.8">
      <c r="A757" s="53"/>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ht="13.8">
      <c r="A758" s="53"/>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ht="13.8">
      <c r="A759" s="53"/>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ht="13.8">
      <c r="A760" s="53"/>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ht="13.8">
      <c r="A761" s="53"/>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ht="13.8">
      <c r="A762" s="53"/>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ht="13.8">
      <c r="A763" s="5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ht="13.8">
      <c r="A764" s="53"/>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ht="13.8">
      <c r="A765" s="53"/>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ht="13.8">
      <c r="A766" s="53"/>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ht="13.8">
      <c r="A767" s="53"/>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ht="13.8">
      <c r="A768" s="53"/>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ht="13.8">
      <c r="A769" s="53"/>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ht="13.8">
      <c r="A770" s="53"/>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ht="13.8">
      <c r="A771" s="53"/>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ht="13.8">
      <c r="A772" s="53"/>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ht="13.8">
      <c r="A773" s="5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ht="13.8">
      <c r="A774" s="53"/>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ht="13.8">
      <c r="A775" s="53"/>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ht="13.8">
      <c r="A776" s="53"/>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ht="13.8">
      <c r="A777" s="53"/>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ht="13.8">
      <c r="A778" s="53"/>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ht="13.8">
      <c r="A779" s="53"/>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ht="13.8">
      <c r="A780" s="53"/>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ht="13.8">
      <c r="A781" s="53"/>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ht="13.8">
      <c r="A782" s="53"/>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ht="13.8">
      <c r="A783" s="5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ht="13.8">
      <c r="A784" s="53"/>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ht="13.8">
      <c r="A785" s="53"/>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ht="13.8">
      <c r="A786" s="53"/>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ht="13.8">
      <c r="A787" s="53"/>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ht="13.8">
      <c r="A788" s="53"/>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ht="13.8">
      <c r="A789" s="53"/>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ht="13.8">
      <c r="A790" s="53"/>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ht="13.8">
      <c r="A791" s="53"/>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ht="13.8">
      <c r="A792" s="53"/>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ht="13.8">
      <c r="A793" s="5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ht="13.8">
      <c r="A794" s="53"/>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ht="13.8">
      <c r="A795" s="53"/>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ht="13.8">
      <c r="A796" s="53"/>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ht="13.8">
      <c r="A797" s="53"/>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ht="13.8">
      <c r="A798" s="53"/>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ht="13.8">
      <c r="A799" s="53"/>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ht="13.8">
      <c r="A800" s="53"/>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ht="13.8">
      <c r="A801" s="53"/>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ht="13.8">
      <c r="A802" s="53"/>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ht="13.8">
      <c r="A803" s="5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ht="13.8">
      <c r="A804" s="53"/>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ht="13.8">
      <c r="A805" s="53"/>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ht="13.8">
      <c r="A806" s="53"/>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ht="13.8">
      <c r="A807" s="53"/>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ht="13.8">
      <c r="A808" s="53"/>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ht="13.8">
      <c r="A809" s="53"/>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ht="13.8">
      <c r="A810" s="53"/>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ht="13.8">
      <c r="A811" s="53"/>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ht="13.8">
      <c r="A812" s="53"/>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ht="13.8">
      <c r="A813" s="5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ht="13.8">
      <c r="A814" s="53"/>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ht="13.8">
      <c r="A815" s="53"/>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ht="13.8">
      <c r="A816" s="53"/>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ht="13.8">
      <c r="A817" s="53"/>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ht="13.8">
      <c r="A818" s="53"/>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ht="13.8">
      <c r="A819" s="53"/>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ht="13.8">
      <c r="A820" s="53"/>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ht="13.8">
      <c r="A821" s="53"/>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ht="13.8">
      <c r="A822" s="53"/>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ht="13.8">
      <c r="A823" s="5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ht="13.8">
      <c r="A824" s="53"/>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ht="13.8">
      <c r="A825" s="53"/>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ht="13.8">
      <c r="A826" s="53"/>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ht="13.8">
      <c r="A827" s="53"/>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ht="13.8">
      <c r="A828" s="53"/>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ht="13.8">
      <c r="A829" s="53"/>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ht="13.8">
      <c r="A830" s="53"/>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ht="13.8">
      <c r="A831" s="53"/>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ht="13.8">
      <c r="A832" s="53"/>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ht="13.8">
      <c r="A833" s="5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ht="13.8">
      <c r="A834" s="53"/>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ht="13.8">
      <c r="A835" s="53"/>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ht="13.8">
      <c r="A836" s="53"/>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ht="13.8">
      <c r="A837" s="53"/>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ht="13.8">
      <c r="A838" s="53"/>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ht="13.8">
      <c r="A839" s="53"/>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ht="13.8">
      <c r="A840" s="53"/>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ht="13.8">
      <c r="A841" s="53"/>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ht="13.8">
      <c r="A842" s="53"/>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ht="13.8">
      <c r="A843" s="5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ht="13.8">
      <c r="A844" s="53"/>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ht="13.8">
      <c r="A845" s="53"/>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ht="13.8">
      <c r="A846" s="53"/>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ht="13.8">
      <c r="A847" s="53"/>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ht="13.8">
      <c r="A848" s="53"/>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ht="13.8">
      <c r="A849" s="53"/>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ht="13.8">
      <c r="A850" s="53"/>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ht="13.8">
      <c r="A851" s="53"/>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ht="13.8">
      <c r="A852" s="53"/>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ht="13.8">
      <c r="A853" s="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ht="13.8">
      <c r="A854" s="53"/>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ht="13.8">
      <c r="A855" s="53"/>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ht="13.8">
      <c r="A856" s="53"/>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ht="13.8">
      <c r="A857" s="53"/>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ht="13.8">
      <c r="A858" s="53"/>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ht="13.8">
      <c r="A859" s="53"/>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ht="13.8">
      <c r="A860" s="53"/>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ht="13.8">
      <c r="A861" s="53"/>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ht="13.8">
      <c r="A862" s="53"/>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ht="13.8">
      <c r="A863" s="5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ht="13.8">
      <c r="A864" s="53"/>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ht="13.8">
      <c r="A865" s="53"/>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ht="13.8">
      <c r="A866" s="53"/>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ht="13.8">
      <c r="A867" s="53"/>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ht="13.8">
      <c r="A868" s="53"/>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ht="13.8">
      <c r="A869" s="53"/>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ht="13.8">
      <c r="A870" s="53"/>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ht="13.8">
      <c r="A871" s="53"/>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ht="13.8">
      <c r="A872" s="53"/>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ht="13.8">
      <c r="A873" s="5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ht="13.8">
      <c r="A874" s="53"/>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ht="13.8">
      <c r="A875" s="53"/>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ht="13.8">
      <c r="A876" s="53"/>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ht="13.8">
      <c r="A877" s="53"/>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ht="13.8">
      <c r="A878" s="53"/>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ht="13.8">
      <c r="A879" s="53"/>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ht="13.8">
      <c r="A880" s="53"/>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ht="13.8">
      <c r="A881" s="53"/>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ht="13.8">
      <c r="A882" s="53"/>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ht="13.8">
      <c r="A883" s="5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ht="13.8">
      <c r="A884" s="53"/>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ht="13.8">
      <c r="A885" s="53"/>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ht="13.8">
      <c r="A886" s="53"/>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ht="13.8">
      <c r="A887" s="53"/>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ht="13.8">
      <c r="A888" s="53"/>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ht="13.8">
      <c r="A889" s="53"/>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ht="13.8">
      <c r="A890" s="53"/>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ht="13.8">
      <c r="A891" s="53"/>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ht="13.8">
      <c r="A892" s="53"/>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ht="13.8">
      <c r="A893" s="5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ht="13.8">
      <c r="A894" s="53"/>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ht="13.8">
      <c r="A895" s="53"/>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ht="13.8">
      <c r="A896" s="53"/>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ht="13.8">
      <c r="A897" s="53"/>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ht="13.8">
      <c r="A898" s="53"/>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ht="13.8">
      <c r="A899" s="53"/>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ht="13.8">
      <c r="A900" s="53"/>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ht="13.8">
      <c r="A901" s="53"/>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ht="13.8">
      <c r="A902" s="53"/>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ht="13.8">
      <c r="A903" s="5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ht="13.8">
      <c r="A904" s="53"/>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ht="13.8">
      <c r="A905" s="53"/>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ht="13.8">
      <c r="A906" s="53"/>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ht="13.8">
      <c r="A907" s="53"/>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ht="13.8">
      <c r="A908" s="53"/>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ht="13.8">
      <c r="A909" s="53"/>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ht="13.8">
      <c r="A910" s="53"/>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ht="13.8">
      <c r="A911" s="53"/>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ht="13.8">
      <c r="A912" s="53"/>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ht="13.8">
      <c r="A913" s="5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ht="13.8">
      <c r="A914" s="53"/>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ht="13.8">
      <c r="A915" s="53"/>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ht="13.8">
      <c r="A916" s="53"/>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ht="13.8">
      <c r="A917" s="53"/>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ht="13.8">
      <c r="A918" s="53"/>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ht="13.8">
      <c r="A919" s="53"/>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ht="13.8">
      <c r="A920" s="53"/>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ht="13.8">
      <c r="A921" s="53"/>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ht="13.8">
      <c r="A922" s="53"/>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ht="13.8">
      <c r="A923" s="5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ht="13.8">
      <c r="A924" s="53"/>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ht="13.8">
      <c r="A925" s="53"/>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ht="13.8">
      <c r="A926" s="53"/>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ht="13.8">
      <c r="A927" s="53"/>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ht="13.8">
      <c r="A928" s="53"/>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ht="13.8">
      <c r="A929" s="53"/>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ht="13.8">
      <c r="A930" s="53"/>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spans="1:33" ht="13.8">
      <c r="A931" s="53"/>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spans="1:33" ht="13.8">
      <c r="A932" s="53"/>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spans="1:33" ht="13.8">
      <c r="A933" s="5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spans="1:33" ht="13.8">
      <c r="A934" s="53"/>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spans="1:33" ht="13.8">
      <c r="A935" s="53"/>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spans="1:33" ht="13.8">
      <c r="A936" s="53"/>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spans="1:33" ht="13.8">
      <c r="A937" s="53"/>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spans="1:33" ht="13.8">
      <c r="A938" s="53"/>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spans="1:33" ht="13.8">
      <c r="A939" s="53"/>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spans="1:33" ht="13.8">
      <c r="A940" s="53"/>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spans="1:33" ht="13.8">
      <c r="A941" s="53"/>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spans="1:33" ht="13.8">
      <c r="A942" s="53"/>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spans="1:33" ht="13.8">
      <c r="A943" s="5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spans="1:33" ht="13.8">
      <c r="A944" s="53"/>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spans="1:33" ht="13.8">
      <c r="A945" s="53"/>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spans="1:33" ht="13.8">
      <c r="A946" s="53"/>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spans="1:33" ht="13.8">
      <c r="A947" s="53"/>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spans="1:33" ht="13.8">
      <c r="A948" s="53"/>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spans="1:33" ht="13.8">
      <c r="A949" s="53"/>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spans="1:33" ht="13.8">
      <c r="A950" s="53"/>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spans="1:33" ht="13.8">
      <c r="A951" s="53"/>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spans="1:33" ht="13.8">
      <c r="A952" s="53"/>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spans="1:33" ht="13.8">
      <c r="A953" s="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spans="1:33" ht="13.8">
      <c r="A954" s="53"/>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spans="1:33" ht="13.8">
      <c r="A955" s="53"/>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spans="1:33" ht="13.8">
      <c r="A956" s="53"/>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spans="1:33" ht="13.8">
      <c r="A957" s="53"/>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spans="1:33" ht="13.8">
      <c r="A958" s="53"/>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spans="1:33" ht="13.8">
      <c r="A959" s="53"/>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spans="1:33" ht="13.8">
      <c r="A960" s="53"/>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spans="1:33" ht="13.8">
      <c r="A961" s="53"/>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spans="1:33" ht="13.8">
      <c r="A962" s="53"/>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spans="1:33" ht="13.8">
      <c r="A963" s="5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spans="1:33" ht="13.8">
      <c r="A964" s="53"/>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spans="1:33" ht="13.8">
      <c r="A965" s="53"/>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spans="1:33" ht="13.8">
      <c r="A966" s="53"/>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spans="1:33" ht="13.8">
      <c r="A967" s="53"/>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spans="1:33" ht="13.8">
      <c r="A968" s="53"/>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spans="1:33" ht="13.8">
      <c r="A969" s="53"/>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spans="1:33" ht="13.8">
      <c r="A970" s="53"/>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spans="1:33" ht="13.8">
      <c r="A971" s="53"/>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spans="1:33" ht="13.8">
      <c r="A972" s="53"/>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spans="1:33" ht="13.8">
      <c r="A973" s="5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spans="1:33" ht="13.8">
      <c r="A974" s="53"/>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spans="1:33" ht="13.8">
      <c r="A975" s="53"/>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spans="1:33" ht="13.8">
      <c r="A976" s="53"/>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spans="1:33" ht="13.8">
      <c r="A977" s="53"/>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spans="1:33" ht="13.8">
      <c r="A978" s="53"/>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spans="1:33" ht="13.8">
      <c r="A979" s="53"/>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spans="1:33" ht="13.8">
      <c r="A980" s="53"/>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spans="1:33" ht="13.8">
      <c r="A981" s="53"/>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spans="1:33" ht="13.8">
      <c r="A982" s="53"/>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spans="1:33" ht="13.8">
      <c r="A983" s="5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spans="1:33" ht="13.8">
      <c r="A984" s="53"/>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spans="1:33" ht="13.8">
      <c r="A985" s="53"/>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spans="1:33" ht="13.8">
      <c r="A986" s="53"/>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spans="1:33" ht="13.8">
      <c r="A987" s="53"/>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spans="1:33" ht="13.8">
      <c r="A988" s="53"/>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spans="1:33" ht="13.8">
      <c r="A989" s="53"/>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spans="1:33" ht="13.8">
      <c r="A990" s="53"/>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spans="1:33" ht="13.8">
      <c r="A991" s="53"/>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spans="1:33" ht="13.8">
      <c r="A992" s="53"/>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spans="1:33" ht="13.8">
      <c r="A993" s="5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spans="1:33" ht="13.8">
      <c r="A994" s="53"/>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spans="1:33" ht="13.8">
      <c r="A995" s="53"/>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spans="1:33" ht="13.8">
      <c r="A996" s="53"/>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spans="1:33" ht="13.8">
      <c r="A997" s="53"/>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sheetData>
  <mergeCells count="30">
    <mergeCell ref="F25:F26"/>
    <mergeCell ref="G25:G26"/>
    <mergeCell ref="U25:U26"/>
    <mergeCell ref="A29:A31"/>
    <mergeCell ref="B29:B31"/>
    <mergeCell ref="C29:C31"/>
    <mergeCell ref="D29:D31"/>
    <mergeCell ref="E29:E31"/>
    <mergeCell ref="F29:F31"/>
    <mergeCell ref="G29:G31"/>
    <mergeCell ref="U29:U31"/>
    <mergeCell ref="A25:A26"/>
    <mergeCell ref="B25:B26"/>
    <mergeCell ref="C25:C26"/>
    <mergeCell ref="D25:D26"/>
    <mergeCell ref="E25:E26"/>
    <mergeCell ref="D22:D23"/>
    <mergeCell ref="E22:E23"/>
    <mergeCell ref="F22:F23"/>
    <mergeCell ref="G22:G23"/>
    <mergeCell ref="A1:AC1"/>
    <mergeCell ref="A3:C3"/>
    <mergeCell ref="A4:C4"/>
    <mergeCell ref="A5:C5"/>
    <mergeCell ref="A6:C6"/>
    <mergeCell ref="A7:C7"/>
    <mergeCell ref="A22:A23"/>
    <mergeCell ref="U22:U23"/>
    <mergeCell ref="B22:B23"/>
    <mergeCell ref="C22:C23"/>
  </mergeCells>
  <pageMargins left="0.7" right="0.7" top="0.75" bottom="0.75" header="0.3" footer="0.3"/>
  <headerFooter>
    <oddFooter>&amp;L_x000D_&amp;1#&amp;"Aptos"&amp;10&amp;K000000 Sensitivity: C1-Internal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62"/>
  <sheetViews>
    <sheetView workbookViewId="0">
      <pane ySplit="1" topLeftCell="A25" activePane="bottomLeft" state="frozen"/>
      <selection pane="bottomLeft" activeCell="A2" sqref="A2"/>
    </sheetView>
  </sheetViews>
  <sheetFormatPr defaultColWidth="14.44140625" defaultRowHeight="15" customHeight="1"/>
  <cols>
    <col min="1" max="1" width="20.88671875" customWidth="1"/>
    <col min="2" max="2" width="8.33203125" customWidth="1"/>
    <col min="3" max="3" width="29.109375" customWidth="1"/>
    <col min="4" max="4" width="15.5546875" customWidth="1"/>
    <col min="5" max="5" width="56.88671875" customWidth="1"/>
    <col min="6" max="6" width="11.88671875" customWidth="1"/>
    <col min="7" max="7" width="12.33203125" customWidth="1"/>
    <col min="8" max="8" width="20.88671875" customWidth="1"/>
    <col min="9" max="9" width="12" customWidth="1"/>
    <col min="10" max="10" width="36.6640625" customWidth="1"/>
    <col min="11" max="12" width="20.88671875" customWidth="1"/>
    <col min="13" max="13" width="17" customWidth="1"/>
    <col min="14" max="14" width="47.88671875" customWidth="1"/>
    <col min="15" max="15" width="14.5546875" customWidth="1"/>
    <col min="16" max="16" width="14.44140625" customWidth="1"/>
    <col min="17" max="17" width="59.44140625" customWidth="1"/>
    <col min="18" max="23" width="20.88671875" customWidth="1"/>
    <col min="24" max="25" width="10.88671875" customWidth="1"/>
    <col min="26" max="26" width="37.33203125" customWidth="1"/>
    <col min="27" max="27" width="11.44140625" customWidth="1"/>
    <col min="28" max="28" width="15.44140625" customWidth="1"/>
    <col min="29" max="29" width="80.44140625" customWidth="1"/>
    <col min="30" max="34" width="20.88671875" customWidth="1"/>
    <col min="35" max="35" width="25.44140625" customWidth="1"/>
    <col min="36" max="36" width="33" customWidth="1"/>
    <col min="37" max="37" width="99.6640625" customWidth="1"/>
    <col min="38" max="40" width="20.88671875" customWidth="1"/>
    <col min="41" max="41" width="11.6640625" customWidth="1"/>
    <col min="42" max="42" width="20.88671875" customWidth="1"/>
    <col min="43" max="43" width="17" customWidth="1"/>
    <col min="44" max="44" width="20.88671875" customWidth="1"/>
    <col min="45" max="45" width="9.5546875" customWidth="1"/>
    <col min="46" max="46" width="60.88671875" customWidth="1"/>
    <col min="47" max="47" width="9.44140625" customWidth="1"/>
  </cols>
  <sheetData>
    <row r="1" spans="1:50" ht="52.5" customHeight="1">
      <c r="A1" s="1" t="s">
        <v>0</v>
      </c>
      <c r="B1" s="1" t="s">
        <v>2</v>
      </c>
      <c r="C1" s="1" t="s">
        <v>3</v>
      </c>
      <c r="D1" s="1" t="s">
        <v>5</v>
      </c>
      <c r="E1" s="1" t="s">
        <v>6</v>
      </c>
      <c r="F1" s="1" t="s">
        <v>7</v>
      </c>
      <c r="G1" s="1" t="s">
        <v>8</v>
      </c>
      <c r="H1" s="1" t="s">
        <v>9</v>
      </c>
      <c r="I1" s="1" t="s">
        <v>10</v>
      </c>
      <c r="J1" s="1" t="s">
        <v>11</v>
      </c>
      <c r="K1" s="1" t="s">
        <v>12</v>
      </c>
      <c r="L1" s="1" t="s">
        <v>13</v>
      </c>
      <c r="M1" s="1" t="s">
        <v>14</v>
      </c>
      <c r="N1" s="1" t="s">
        <v>15</v>
      </c>
      <c r="O1" s="1" t="s">
        <v>16</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42</v>
      </c>
      <c r="AN1" s="1" t="s">
        <v>43</v>
      </c>
      <c r="AO1" s="1" t="s">
        <v>44</v>
      </c>
      <c r="AP1" s="1" t="s">
        <v>45</v>
      </c>
      <c r="AQ1" s="1" t="s">
        <v>46</v>
      </c>
      <c r="AR1" s="1" t="s">
        <v>47</v>
      </c>
      <c r="AS1" s="1" t="s">
        <v>48</v>
      </c>
      <c r="AT1" s="1" t="s">
        <v>49</v>
      </c>
      <c r="AU1" s="1" t="s">
        <v>50</v>
      </c>
      <c r="AV1" s="1" t="s">
        <v>51</v>
      </c>
      <c r="AW1" s="9"/>
      <c r="AX1" s="9"/>
    </row>
    <row r="2" spans="1:50" ht="52.5" customHeight="1">
      <c r="A2" s="11" t="s">
        <v>52</v>
      </c>
      <c r="B2" s="11" t="s">
        <v>53</v>
      </c>
      <c r="C2" s="11" t="s">
        <v>54</v>
      </c>
      <c r="D2" s="11" t="s">
        <v>55</v>
      </c>
      <c r="E2" s="11" t="s">
        <v>56</v>
      </c>
      <c r="F2" s="13">
        <v>1</v>
      </c>
      <c r="G2" s="11" t="s">
        <v>57</v>
      </c>
      <c r="H2" s="11" t="s">
        <v>58</v>
      </c>
      <c r="I2" s="11" t="s">
        <v>59</v>
      </c>
      <c r="J2" s="11" t="s">
        <v>60</v>
      </c>
      <c r="K2" s="11" t="s">
        <v>61</v>
      </c>
      <c r="L2" s="11" t="s">
        <v>62</v>
      </c>
      <c r="M2" s="11" t="s">
        <v>63</v>
      </c>
      <c r="N2" s="11" t="s">
        <v>64</v>
      </c>
      <c r="O2" s="11" t="s">
        <v>65</v>
      </c>
      <c r="P2" s="11" t="s">
        <v>65</v>
      </c>
      <c r="Q2" s="11"/>
      <c r="R2" s="11"/>
      <c r="S2" s="11"/>
      <c r="T2" s="11"/>
      <c r="U2" s="11" t="s">
        <v>61</v>
      </c>
      <c r="V2" s="11" t="s">
        <v>66</v>
      </c>
      <c r="W2" s="11" t="s">
        <v>67</v>
      </c>
      <c r="X2" s="11" t="s">
        <v>68</v>
      </c>
      <c r="Y2" s="13">
        <v>1</v>
      </c>
      <c r="Z2" s="11" t="s">
        <v>69</v>
      </c>
      <c r="AA2" s="11"/>
      <c r="AB2" s="11" t="s">
        <v>70</v>
      </c>
      <c r="AC2" s="11" t="s">
        <v>71</v>
      </c>
      <c r="AD2" s="11"/>
      <c r="AE2" s="11"/>
      <c r="AF2" s="11"/>
      <c r="AG2" s="11"/>
      <c r="AH2" s="11" t="s">
        <v>73</v>
      </c>
      <c r="AI2" s="11" t="s">
        <v>74</v>
      </c>
      <c r="AJ2" s="11" t="s">
        <v>75</v>
      </c>
      <c r="AK2" s="11" t="s">
        <v>76</v>
      </c>
      <c r="AL2" s="11" t="s">
        <v>77</v>
      </c>
      <c r="AM2" s="11" t="s">
        <v>78</v>
      </c>
      <c r="AN2" s="11" t="s">
        <v>79</v>
      </c>
      <c r="AO2" s="11" t="s">
        <v>79</v>
      </c>
      <c r="AP2" s="11" t="s">
        <v>80</v>
      </c>
      <c r="AQ2" s="11"/>
      <c r="AR2" s="11"/>
      <c r="AS2" s="11"/>
      <c r="AT2" s="11" t="s">
        <v>81</v>
      </c>
      <c r="AU2" s="11" t="s">
        <v>82</v>
      </c>
      <c r="AV2" s="11" t="s">
        <v>83</v>
      </c>
      <c r="AW2" s="9"/>
      <c r="AX2" s="9"/>
    </row>
    <row r="3" spans="1:50" ht="52.5" customHeight="1">
      <c r="A3" s="11" t="s">
        <v>52</v>
      </c>
      <c r="B3" s="11" t="s">
        <v>53</v>
      </c>
      <c r="C3" s="11" t="s">
        <v>54</v>
      </c>
      <c r="D3" s="11" t="s">
        <v>84</v>
      </c>
      <c r="E3" s="11" t="s">
        <v>85</v>
      </c>
      <c r="F3" s="13">
        <v>1</v>
      </c>
      <c r="G3" s="11" t="s">
        <v>57</v>
      </c>
      <c r="H3" s="11" t="s">
        <v>58</v>
      </c>
      <c r="I3" s="11" t="s">
        <v>86</v>
      </c>
      <c r="J3" s="11" t="s">
        <v>60</v>
      </c>
      <c r="K3" s="11" t="s">
        <v>61</v>
      </c>
      <c r="L3" s="11" t="s">
        <v>62</v>
      </c>
      <c r="M3" s="11" t="s">
        <v>63</v>
      </c>
      <c r="N3" s="11" t="s">
        <v>85</v>
      </c>
      <c r="O3" s="11" t="s">
        <v>65</v>
      </c>
      <c r="P3" s="11" t="s">
        <v>65</v>
      </c>
      <c r="Q3" s="11"/>
      <c r="R3" s="11"/>
      <c r="S3" s="11"/>
      <c r="T3" s="11"/>
      <c r="U3" s="11" t="s">
        <v>61</v>
      </c>
      <c r="V3" s="11" t="s">
        <v>66</v>
      </c>
      <c r="W3" s="11" t="s">
        <v>67</v>
      </c>
      <c r="X3" s="11" t="s">
        <v>68</v>
      </c>
      <c r="Y3" s="13">
        <v>1</v>
      </c>
      <c r="Z3" s="11" t="s">
        <v>69</v>
      </c>
      <c r="AA3" s="11"/>
      <c r="AB3" s="11" t="s">
        <v>70</v>
      </c>
      <c r="AC3" s="11" t="s">
        <v>89</v>
      </c>
      <c r="AD3" s="11"/>
      <c r="AE3" s="11"/>
      <c r="AF3" s="11"/>
      <c r="AG3" s="11"/>
      <c r="AH3" s="11" t="s">
        <v>73</v>
      </c>
      <c r="AI3" s="11" t="s">
        <v>74</v>
      </c>
      <c r="AJ3" s="11" t="s">
        <v>75</v>
      </c>
      <c r="AK3" s="11" t="s">
        <v>90</v>
      </c>
      <c r="AL3" s="11" t="s">
        <v>77</v>
      </c>
      <c r="AM3" s="11" t="s">
        <v>78</v>
      </c>
      <c r="AN3" s="11" t="s">
        <v>79</v>
      </c>
      <c r="AO3" s="11" t="s">
        <v>79</v>
      </c>
      <c r="AP3" s="11" t="s">
        <v>80</v>
      </c>
      <c r="AQ3" s="11"/>
      <c r="AR3" s="11"/>
      <c r="AS3" s="11"/>
      <c r="AT3" s="11" t="s">
        <v>91</v>
      </c>
      <c r="AU3" s="11" t="s">
        <v>82</v>
      </c>
      <c r="AV3" s="11" t="s">
        <v>83</v>
      </c>
      <c r="AW3" s="9"/>
      <c r="AX3" s="9"/>
    </row>
    <row r="4" spans="1:50" ht="52.5" customHeight="1">
      <c r="A4" s="11" t="s">
        <v>52</v>
      </c>
      <c r="B4" s="11" t="s">
        <v>53</v>
      </c>
      <c r="C4" s="11" t="s">
        <v>54</v>
      </c>
      <c r="D4" s="11" t="s">
        <v>92</v>
      </c>
      <c r="E4" s="11" t="s">
        <v>93</v>
      </c>
      <c r="F4" s="13">
        <v>1</v>
      </c>
      <c r="G4" s="11" t="s">
        <v>57</v>
      </c>
      <c r="H4" s="11" t="s">
        <v>58</v>
      </c>
      <c r="I4" s="11" t="s">
        <v>94</v>
      </c>
      <c r="J4" s="11" t="s">
        <v>60</v>
      </c>
      <c r="K4" s="11" t="s">
        <v>61</v>
      </c>
      <c r="L4" s="11" t="s">
        <v>62</v>
      </c>
      <c r="M4" s="11" t="s">
        <v>63</v>
      </c>
      <c r="N4" s="11" t="s">
        <v>95</v>
      </c>
      <c r="O4" s="11" t="s">
        <v>65</v>
      </c>
      <c r="P4" s="11" t="s">
        <v>65</v>
      </c>
      <c r="Q4" s="11"/>
      <c r="R4" s="11"/>
      <c r="S4" s="11"/>
      <c r="T4" s="11"/>
      <c r="U4" s="11" t="s">
        <v>61</v>
      </c>
      <c r="V4" s="11" t="s">
        <v>66</v>
      </c>
      <c r="W4" s="11" t="s">
        <v>67</v>
      </c>
      <c r="X4" s="11" t="s">
        <v>68</v>
      </c>
      <c r="Y4" s="13">
        <v>1</v>
      </c>
      <c r="Z4" s="11" t="s">
        <v>69</v>
      </c>
      <c r="AA4" s="11"/>
      <c r="AB4" s="11" t="s">
        <v>70</v>
      </c>
      <c r="AC4" s="11" t="s">
        <v>96</v>
      </c>
      <c r="AD4" s="11"/>
      <c r="AE4" s="11"/>
      <c r="AF4" s="11"/>
      <c r="AG4" s="11"/>
      <c r="AH4" s="11" t="s">
        <v>73</v>
      </c>
      <c r="AI4" s="11" t="s">
        <v>74</v>
      </c>
      <c r="AJ4" s="11" t="s">
        <v>97</v>
      </c>
      <c r="AK4" s="11" t="s">
        <v>98</v>
      </c>
      <c r="AL4" s="11" t="s">
        <v>77</v>
      </c>
      <c r="AM4" s="11" t="s">
        <v>78</v>
      </c>
      <c r="AN4" s="11" t="s">
        <v>79</v>
      </c>
      <c r="AO4" s="11" t="s">
        <v>79</v>
      </c>
      <c r="AP4" s="11" t="s">
        <v>80</v>
      </c>
      <c r="AQ4" s="11"/>
      <c r="AR4" s="11"/>
      <c r="AS4" s="11"/>
      <c r="AT4" s="11" t="s">
        <v>91</v>
      </c>
      <c r="AU4" s="11" t="s">
        <v>82</v>
      </c>
      <c r="AV4" s="11" t="s">
        <v>83</v>
      </c>
      <c r="AW4" s="9"/>
      <c r="AX4" s="9"/>
    </row>
    <row r="5" spans="1:50" ht="52.5" customHeight="1">
      <c r="A5" s="11" t="s">
        <v>52</v>
      </c>
      <c r="B5" s="11" t="s">
        <v>53</v>
      </c>
      <c r="C5" s="11" t="s">
        <v>54</v>
      </c>
      <c r="D5" s="11" t="s">
        <v>100</v>
      </c>
      <c r="E5" s="11" t="s">
        <v>101</v>
      </c>
      <c r="F5" s="13">
        <v>1</v>
      </c>
      <c r="G5" s="11" t="s">
        <v>57</v>
      </c>
      <c r="H5" s="11" t="s">
        <v>58</v>
      </c>
      <c r="I5" s="11" t="s">
        <v>102</v>
      </c>
      <c r="J5" s="11" t="s">
        <v>60</v>
      </c>
      <c r="K5" s="11" t="s">
        <v>61</v>
      </c>
      <c r="L5" s="11" t="s">
        <v>62</v>
      </c>
      <c r="M5" s="11" t="s">
        <v>103</v>
      </c>
      <c r="N5" s="11"/>
      <c r="O5" s="11"/>
      <c r="P5" s="11"/>
      <c r="Q5" s="11" t="s">
        <v>104</v>
      </c>
      <c r="R5" s="11" t="s">
        <v>65</v>
      </c>
      <c r="S5" s="11" t="s">
        <v>65</v>
      </c>
      <c r="T5" s="11"/>
      <c r="U5" s="11" t="s">
        <v>61</v>
      </c>
      <c r="V5" s="11" t="s">
        <v>66</v>
      </c>
      <c r="W5" s="11" t="s">
        <v>67</v>
      </c>
      <c r="X5" s="11" t="s">
        <v>68</v>
      </c>
      <c r="Y5" s="13">
        <v>1</v>
      </c>
      <c r="Z5" s="11" t="s">
        <v>69</v>
      </c>
      <c r="AA5" s="11"/>
      <c r="AB5" s="11" t="s">
        <v>70</v>
      </c>
      <c r="AC5" s="11" t="s">
        <v>105</v>
      </c>
      <c r="AD5" s="11"/>
      <c r="AE5" s="11"/>
      <c r="AF5" s="11"/>
      <c r="AG5" s="11"/>
      <c r="AH5" s="11" t="s">
        <v>73</v>
      </c>
      <c r="AI5" s="11" t="s">
        <v>74</v>
      </c>
      <c r="AJ5" s="11" t="s">
        <v>97</v>
      </c>
      <c r="AK5" s="11" t="s">
        <v>106</v>
      </c>
      <c r="AL5" s="11" t="s">
        <v>77</v>
      </c>
      <c r="AM5" s="11" t="s">
        <v>78</v>
      </c>
      <c r="AN5" s="11" t="s">
        <v>79</v>
      </c>
      <c r="AO5" s="11" t="s">
        <v>79</v>
      </c>
      <c r="AP5" s="11" t="s">
        <v>80</v>
      </c>
      <c r="AQ5" s="11"/>
      <c r="AR5" s="11"/>
      <c r="AS5" s="11"/>
      <c r="AT5" s="11" t="s">
        <v>91</v>
      </c>
      <c r="AU5" s="11" t="s">
        <v>82</v>
      </c>
      <c r="AV5" s="11" t="s">
        <v>83</v>
      </c>
      <c r="AW5" s="9"/>
      <c r="AX5" s="9"/>
    </row>
    <row r="6" spans="1:50" ht="52.5" customHeight="1">
      <c r="A6" s="11" t="s">
        <v>52</v>
      </c>
      <c r="B6" s="11" t="s">
        <v>53</v>
      </c>
      <c r="C6" s="11" t="s">
        <v>54</v>
      </c>
      <c r="D6" s="11" t="s">
        <v>108</v>
      </c>
      <c r="E6" s="11" t="s">
        <v>109</v>
      </c>
      <c r="F6" s="13">
        <v>1</v>
      </c>
      <c r="G6" s="11" t="s">
        <v>57</v>
      </c>
      <c r="H6" s="11" t="s">
        <v>58</v>
      </c>
      <c r="I6" s="11" t="s">
        <v>110</v>
      </c>
      <c r="J6" s="11" t="s">
        <v>60</v>
      </c>
      <c r="K6" s="11" t="s">
        <v>61</v>
      </c>
      <c r="L6" s="11" t="s">
        <v>62</v>
      </c>
      <c r="M6" s="11" t="s">
        <v>63</v>
      </c>
      <c r="N6" s="11" t="s">
        <v>111</v>
      </c>
      <c r="O6" s="11" t="s">
        <v>65</v>
      </c>
      <c r="P6" s="11" t="s">
        <v>65</v>
      </c>
      <c r="Q6" s="11"/>
      <c r="R6" s="11"/>
      <c r="S6" s="11"/>
      <c r="T6" s="11"/>
      <c r="U6" s="11" t="s">
        <v>61</v>
      </c>
      <c r="V6" s="11" t="s">
        <v>66</v>
      </c>
      <c r="W6" s="11" t="s">
        <v>67</v>
      </c>
      <c r="X6" s="11" t="s">
        <v>68</v>
      </c>
      <c r="Y6" s="13">
        <v>1</v>
      </c>
      <c r="Z6" s="11" t="s">
        <v>69</v>
      </c>
      <c r="AA6" s="11"/>
      <c r="AB6" s="11" t="s">
        <v>70</v>
      </c>
      <c r="AC6" s="11" t="s">
        <v>112</v>
      </c>
      <c r="AD6" s="11"/>
      <c r="AE6" s="11"/>
      <c r="AF6" s="11"/>
      <c r="AG6" s="11"/>
      <c r="AH6" s="11" t="s">
        <v>73</v>
      </c>
      <c r="AI6" s="11" t="s">
        <v>74</v>
      </c>
      <c r="AJ6" s="11" t="s">
        <v>75</v>
      </c>
      <c r="AK6" s="11" t="s">
        <v>113</v>
      </c>
      <c r="AL6" s="11" t="s">
        <v>77</v>
      </c>
      <c r="AM6" s="11" t="s">
        <v>78</v>
      </c>
      <c r="AN6" s="11" t="s">
        <v>79</v>
      </c>
      <c r="AO6" s="11" t="s">
        <v>79</v>
      </c>
      <c r="AP6" s="11" t="s">
        <v>80</v>
      </c>
      <c r="AQ6" s="11"/>
      <c r="AR6" s="11"/>
      <c r="AS6" s="11"/>
      <c r="AT6" s="11" t="s">
        <v>91</v>
      </c>
      <c r="AU6" s="11" t="s">
        <v>82</v>
      </c>
      <c r="AV6" s="11" t="s">
        <v>83</v>
      </c>
      <c r="AW6" s="9"/>
      <c r="AX6" s="9"/>
    </row>
    <row r="7" spans="1:50" ht="109.5" customHeight="1">
      <c r="A7" s="11" t="s">
        <v>52</v>
      </c>
      <c r="B7" s="11" t="s">
        <v>53</v>
      </c>
      <c r="C7" s="11" t="s">
        <v>54</v>
      </c>
      <c r="D7" s="11" t="s">
        <v>114</v>
      </c>
      <c r="E7" s="11" t="s">
        <v>115</v>
      </c>
      <c r="F7" s="13">
        <v>1</v>
      </c>
      <c r="G7" s="11" t="s">
        <v>57</v>
      </c>
      <c r="H7" s="11" t="s">
        <v>58</v>
      </c>
      <c r="I7" s="11" t="s">
        <v>116</v>
      </c>
      <c r="J7" s="11" t="s">
        <v>60</v>
      </c>
      <c r="K7" s="11" t="s">
        <v>61</v>
      </c>
      <c r="L7" s="11" t="s">
        <v>62</v>
      </c>
      <c r="M7" s="11" t="s">
        <v>103</v>
      </c>
      <c r="N7" s="11"/>
      <c r="O7" s="11"/>
      <c r="P7" s="11"/>
      <c r="Q7" s="11" t="s">
        <v>118</v>
      </c>
      <c r="R7" s="11" t="s">
        <v>65</v>
      </c>
      <c r="S7" s="11" t="s">
        <v>65</v>
      </c>
      <c r="T7" s="11"/>
      <c r="U7" s="11" t="s">
        <v>61</v>
      </c>
      <c r="V7" s="11" t="s">
        <v>66</v>
      </c>
      <c r="W7" s="11" t="s">
        <v>67</v>
      </c>
      <c r="X7" s="11" t="s">
        <v>68</v>
      </c>
      <c r="Y7" s="13">
        <v>1</v>
      </c>
      <c r="Z7" s="11" t="s">
        <v>69</v>
      </c>
      <c r="AA7" s="11"/>
      <c r="AB7" s="11" t="s">
        <v>70</v>
      </c>
      <c r="AC7" s="11" t="s">
        <v>120</v>
      </c>
      <c r="AD7" s="11"/>
      <c r="AE7" s="11"/>
      <c r="AF7" s="11"/>
      <c r="AG7" s="11"/>
      <c r="AH7" s="11" t="s">
        <v>73</v>
      </c>
      <c r="AI7" s="11" t="s">
        <v>74</v>
      </c>
      <c r="AJ7" s="11" t="s">
        <v>97</v>
      </c>
      <c r="AK7" s="11" t="s">
        <v>121</v>
      </c>
      <c r="AL7" s="11" t="s">
        <v>77</v>
      </c>
      <c r="AM7" s="11" t="s">
        <v>78</v>
      </c>
      <c r="AN7" s="11" t="s">
        <v>79</v>
      </c>
      <c r="AO7" s="11" t="s">
        <v>79</v>
      </c>
      <c r="AP7" s="11" t="s">
        <v>80</v>
      </c>
      <c r="AQ7" s="11"/>
      <c r="AR7" s="11"/>
      <c r="AS7" s="11"/>
      <c r="AT7" s="11" t="s">
        <v>91</v>
      </c>
      <c r="AU7" s="11" t="s">
        <v>82</v>
      </c>
      <c r="AV7" s="11" t="s">
        <v>83</v>
      </c>
      <c r="AW7" s="9"/>
      <c r="AX7" s="9"/>
    </row>
    <row r="8" spans="1:50" ht="52.5" customHeight="1">
      <c r="A8" s="11" t="s">
        <v>52</v>
      </c>
      <c r="B8" s="11" t="s">
        <v>53</v>
      </c>
      <c r="C8" s="11" t="s">
        <v>54</v>
      </c>
      <c r="D8" s="11" t="s">
        <v>122</v>
      </c>
      <c r="E8" s="11" t="s">
        <v>123</v>
      </c>
      <c r="F8" s="13">
        <v>1</v>
      </c>
      <c r="G8" s="11" t="s">
        <v>57</v>
      </c>
      <c r="H8" s="11" t="s">
        <v>58</v>
      </c>
      <c r="I8" s="11" t="s">
        <v>124</v>
      </c>
      <c r="J8" s="11" t="s">
        <v>60</v>
      </c>
      <c r="K8" s="11" t="s">
        <v>61</v>
      </c>
      <c r="L8" s="11" t="s">
        <v>62</v>
      </c>
      <c r="M8" s="11" t="s">
        <v>63</v>
      </c>
      <c r="N8" s="11" t="s">
        <v>125</v>
      </c>
      <c r="O8" s="11" t="s">
        <v>126</v>
      </c>
      <c r="P8" s="11" t="s">
        <v>127</v>
      </c>
      <c r="Q8" s="11"/>
      <c r="R8" s="11"/>
      <c r="S8" s="11"/>
      <c r="T8" s="11"/>
      <c r="U8" s="11" t="s">
        <v>61</v>
      </c>
      <c r="V8" s="11" t="s">
        <v>66</v>
      </c>
      <c r="W8" s="11" t="s">
        <v>67</v>
      </c>
      <c r="X8" s="11" t="s">
        <v>68</v>
      </c>
      <c r="Y8" s="13">
        <v>1</v>
      </c>
      <c r="Z8" s="11" t="s">
        <v>69</v>
      </c>
      <c r="AA8" s="11"/>
      <c r="AB8" s="11" t="s">
        <v>70</v>
      </c>
      <c r="AC8" s="11" t="s">
        <v>128</v>
      </c>
      <c r="AD8" s="11"/>
      <c r="AE8" s="11"/>
      <c r="AF8" s="11"/>
      <c r="AG8" s="11"/>
      <c r="AH8" s="11" t="s">
        <v>73</v>
      </c>
      <c r="AI8" s="11" t="s">
        <v>74</v>
      </c>
      <c r="AJ8" s="11" t="s">
        <v>97</v>
      </c>
      <c r="AK8" s="11" t="s">
        <v>129</v>
      </c>
      <c r="AL8" s="11" t="s">
        <v>77</v>
      </c>
      <c r="AM8" s="11" t="s">
        <v>78</v>
      </c>
      <c r="AN8" s="11" t="s">
        <v>79</v>
      </c>
      <c r="AO8" s="11" t="s">
        <v>79</v>
      </c>
      <c r="AP8" s="11" t="s">
        <v>80</v>
      </c>
      <c r="AQ8" s="11"/>
      <c r="AR8" s="11"/>
      <c r="AS8" s="11"/>
      <c r="AT8" s="11" t="s">
        <v>130</v>
      </c>
      <c r="AU8" s="11" t="s">
        <v>82</v>
      </c>
      <c r="AV8" s="11" t="s">
        <v>83</v>
      </c>
      <c r="AW8" s="9"/>
      <c r="AX8" s="9"/>
    </row>
    <row r="9" spans="1:50" ht="52.5" customHeight="1">
      <c r="A9" s="11" t="s">
        <v>52</v>
      </c>
      <c r="B9" s="11" t="s">
        <v>53</v>
      </c>
      <c r="C9" s="11" t="s">
        <v>54</v>
      </c>
      <c r="D9" s="11" t="s">
        <v>131</v>
      </c>
      <c r="E9" s="11" t="s">
        <v>132</v>
      </c>
      <c r="F9" s="13">
        <v>1</v>
      </c>
      <c r="G9" s="11" t="s">
        <v>57</v>
      </c>
      <c r="H9" s="11" t="s">
        <v>133</v>
      </c>
      <c r="I9" s="11" t="s">
        <v>134</v>
      </c>
      <c r="J9" s="11" t="s">
        <v>135</v>
      </c>
      <c r="K9" s="11" t="s">
        <v>61</v>
      </c>
      <c r="L9" s="11" t="s">
        <v>62</v>
      </c>
      <c r="M9" s="11" t="s">
        <v>63</v>
      </c>
      <c r="N9" s="11" t="s">
        <v>136</v>
      </c>
      <c r="O9" s="11" t="s">
        <v>136</v>
      </c>
      <c r="P9" s="11" t="s">
        <v>127</v>
      </c>
      <c r="Q9" s="11"/>
      <c r="R9" s="11"/>
      <c r="S9" s="11"/>
      <c r="T9" s="11"/>
      <c r="U9" s="11" t="s">
        <v>61</v>
      </c>
      <c r="V9" s="11" t="s">
        <v>66</v>
      </c>
      <c r="W9" s="11" t="s">
        <v>67</v>
      </c>
      <c r="X9" s="11" t="s">
        <v>68</v>
      </c>
      <c r="Y9" s="13">
        <v>1</v>
      </c>
      <c r="Z9" s="11" t="s">
        <v>69</v>
      </c>
      <c r="AA9" s="11"/>
      <c r="AB9" s="11" t="s">
        <v>70</v>
      </c>
      <c r="AC9" s="11" t="s">
        <v>128</v>
      </c>
      <c r="AD9" s="11"/>
      <c r="AE9" s="11"/>
      <c r="AF9" s="11"/>
      <c r="AG9" s="11"/>
      <c r="AH9" s="11" t="s">
        <v>73</v>
      </c>
      <c r="AI9" s="11" t="s">
        <v>138</v>
      </c>
      <c r="AJ9" s="11" t="s">
        <v>75</v>
      </c>
      <c r="AK9" s="11" t="s">
        <v>139</v>
      </c>
      <c r="AL9" s="11" t="s">
        <v>140</v>
      </c>
      <c r="AM9" s="11" t="s">
        <v>141</v>
      </c>
      <c r="AN9" s="11" t="s">
        <v>79</v>
      </c>
      <c r="AO9" s="11" t="s">
        <v>79</v>
      </c>
      <c r="AP9" s="11" t="s">
        <v>80</v>
      </c>
      <c r="AQ9" s="11"/>
      <c r="AR9" s="11"/>
      <c r="AS9" s="11"/>
      <c r="AT9" s="11" t="s">
        <v>142</v>
      </c>
      <c r="AU9" s="11" t="s">
        <v>82</v>
      </c>
      <c r="AV9" s="11" t="s">
        <v>83</v>
      </c>
      <c r="AW9" s="9"/>
      <c r="AX9" s="9"/>
    </row>
    <row r="10" spans="1:50" ht="52.5" customHeight="1">
      <c r="A10" s="11" t="s">
        <v>52</v>
      </c>
      <c r="B10" s="11" t="s">
        <v>53</v>
      </c>
      <c r="C10" s="11" t="s">
        <v>54</v>
      </c>
      <c r="D10" s="11" t="s">
        <v>143</v>
      </c>
      <c r="E10" s="11" t="s">
        <v>144</v>
      </c>
      <c r="F10" s="13">
        <v>1</v>
      </c>
      <c r="G10" s="11" t="s">
        <v>57</v>
      </c>
      <c r="H10" s="11" t="s">
        <v>133</v>
      </c>
      <c r="I10" s="11" t="s">
        <v>145</v>
      </c>
      <c r="J10" s="11" t="s">
        <v>135</v>
      </c>
      <c r="K10" s="11" t="s">
        <v>61</v>
      </c>
      <c r="L10" s="11" t="s">
        <v>62</v>
      </c>
      <c r="M10" s="11" t="s">
        <v>63</v>
      </c>
      <c r="N10" s="11" t="s">
        <v>146</v>
      </c>
      <c r="O10" s="11" t="s">
        <v>65</v>
      </c>
      <c r="P10" s="11" t="s">
        <v>147</v>
      </c>
      <c r="Q10" s="11"/>
      <c r="R10" s="11"/>
      <c r="S10" s="11"/>
      <c r="T10" s="11"/>
      <c r="U10" s="11" t="s">
        <v>61</v>
      </c>
      <c r="V10" s="11" t="s">
        <v>66</v>
      </c>
      <c r="W10" s="11" t="s">
        <v>67</v>
      </c>
      <c r="X10" s="11" t="s">
        <v>68</v>
      </c>
      <c r="Y10" s="13">
        <v>1</v>
      </c>
      <c r="Z10" s="11" t="s">
        <v>69</v>
      </c>
      <c r="AA10" s="11"/>
      <c r="AB10" s="11" t="s">
        <v>70</v>
      </c>
      <c r="AC10" s="11" t="s">
        <v>148</v>
      </c>
      <c r="AD10" s="11"/>
      <c r="AE10" s="11"/>
      <c r="AF10" s="11"/>
      <c r="AG10" s="11"/>
      <c r="AH10" s="11" t="s">
        <v>73</v>
      </c>
      <c r="AI10" s="11" t="s">
        <v>138</v>
      </c>
      <c r="AJ10" s="11" t="s">
        <v>75</v>
      </c>
      <c r="AK10" s="11" t="s">
        <v>149</v>
      </c>
      <c r="AL10" s="11" t="s">
        <v>140</v>
      </c>
      <c r="AM10" s="11" t="s">
        <v>141</v>
      </c>
      <c r="AN10" s="11" t="s">
        <v>79</v>
      </c>
      <c r="AO10" s="11" t="s">
        <v>79</v>
      </c>
      <c r="AP10" s="11" t="s">
        <v>80</v>
      </c>
      <c r="AQ10" s="11"/>
      <c r="AR10" s="11"/>
      <c r="AS10" s="11"/>
      <c r="AT10" s="11" t="s">
        <v>142</v>
      </c>
      <c r="AU10" s="11" t="s">
        <v>82</v>
      </c>
      <c r="AV10" s="11" t="s">
        <v>83</v>
      </c>
      <c r="AW10" s="9"/>
      <c r="AX10" s="9"/>
    </row>
    <row r="11" spans="1:50" ht="52.5" customHeight="1">
      <c r="A11" s="11" t="s">
        <v>52</v>
      </c>
      <c r="B11" s="11" t="s">
        <v>53</v>
      </c>
      <c r="C11" s="11" t="s">
        <v>54</v>
      </c>
      <c r="D11" s="11" t="s">
        <v>151</v>
      </c>
      <c r="E11" s="11" t="s">
        <v>153</v>
      </c>
      <c r="F11" s="13">
        <v>1</v>
      </c>
      <c r="G11" s="11" t="s">
        <v>57</v>
      </c>
      <c r="H11" s="11" t="s">
        <v>154</v>
      </c>
      <c r="I11" s="11" t="s">
        <v>155</v>
      </c>
      <c r="J11" s="11" t="s">
        <v>60</v>
      </c>
      <c r="K11" s="11" t="s">
        <v>61</v>
      </c>
      <c r="L11" s="11" t="s">
        <v>62</v>
      </c>
      <c r="M11" s="11" t="s">
        <v>63</v>
      </c>
      <c r="N11" s="11" t="s">
        <v>156</v>
      </c>
      <c r="O11" s="11" t="s">
        <v>157</v>
      </c>
      <c r="P11" s="11" t="s">
        <v>147</v>
      </c>
      <c r="Q11" s="11"/>
      <c r="R11" s="11"/>
      <c r="S11" s="11"/>
      <c r="T11" s="11"/>
      <c r="U11" s="11" t="s">
        <v>61</v>
      </c>
      <c r="V11" s="11" t="s">
        <v>66</v>
      </c>
      <c r="W11" s="11" t="s">
        <v>67</v>
      </c>
      <c r="X11" s="11" t="s">
        <v>68</v>
      </c>
      <c r="Y11" s="13">
        <v>2</v>
      </c>
      <c r="Z11" s="11" t="s">
        <v>69</v>
      </c>
      <c r="AA11" s="11"/>
      <c r="AB11" s="11" t="s">
        <v>70</v>
      </c>
      <c r="AC11" s="11" t="s">
        <v>161</v>
      </c>
      <c r="AD11" s="11"/>
      <c r="AE11" s="11"/>
      <c r="AF11" s="11"/>
      <c r="AG11" s="11"/>
      <c r="AH11" s="11" t="s">
        <v>62</v>
      </c>
      <c r="AI11" s="11" t="s">
        <v>74</v>
      </c>
      <c r="AJ11" s="11" t="s">
        <v>164</v>
      </c>
      <c r="AK11" s="11" t="s">
        <v>165</v>
      </c>
      <c r="AL11" s="11" t="s">
        <v>77</v>
      </c>
      <c r="AM11" s="11" t="s">
        <v>78</v>
      </c>
      <c r="AN11" s="11" t="s">
        <v>79</v>
      </c>
      <c r="AO11" s="11" t="s">
        <v>79</v>
      </c>
      <c r="AP11" s="11" t="s">
        <v>80</v>
      </c>
      <c r="AQ11" s="11"/>
      <c r="AR11" s="11"/>
      <c r="AS11" s="11"/>
      <c r="AT11" s="11" t="s">
        <v>91</v>
      </c>
      <c r="AU11" s="11" t="s">
        <v>82</v>
      </c>
      <c r="AV11" s="11" t="s">
        <v>83</v>
      </c>
      <c r="AW11" s="9"/>
      <c r="AX11" s="9"/>
    </row>
    <row r="12" spans="1:50" ht="52.5" customHeight="1">
      <c r="A12" s="11" t="s">
        <v>52</v>
      </c>
      <c r="B12" s="11" t="s">
        <v>53</v>
      </c>
      <c r="C12" s="11" t="s">
        <v>54</v>
      </c>
      <c r="D12" s="11" t="s">
        <v>171</v>
      </c>
      <c r="E12" s="11" t="s">
        <v>172</v>
      </c>
      <c r="F12" s="13">
        <v>1</v>
      </c>
      <c r="G12" s="11" t="s">
        <v>57</v>
      </c>
      <c r="H12" s="11" t="s">
        <v>173</v>
      </c>
      <c r="I12" s="11" t="s">
        <v>174</v>
      </c>
      <c r="J12" s="11" t="s">
        <v>60</v>
      </c>
      <c r="K12" s="11" t="s">
        <v>61</v>
      </c>
      <c r="L12" s="11" t="s">
        <v>62</v>
      </c>
      <c r="M12" s="11" t="s">
        <v>63</v>
      </c>
      <c r="N12" s="11" t="s">
        <v>176</v>
      </c>
      <c r="O12" s="11" t="s">
        <v>177</v>
      </c>
      <c r="P12" s="11" t="s">
        <v>147</v>
      </c>
      <c r="Q12" s="11"/>
      <c r="R12" s="11"/>
      <c r="S12" s="11"/>
      <c r="T12" s="11"/>
      <c r="U12" s="11" t="s">
        <v>61</v>
      </c>
      <c r="V12" s="11" t="s">
        <v>66</v>
      </c>
      <c r="W12" s="11" t="s">
        <v>67</v>
      </c>
      <c r="X12" s="11" t="s">
        <v>68</v>
      </c>
      <c r="Y12" s="13">
        <v>1</v>
      </c>
      <c r="Z12" s="11" t="s">
        <v>69</v>
      </c>
      <c r="AA12" s="11"/>
      <c r="AB12" s="11" t="s">
        <v>70</v>
      </c>
      <c r="AC12" s="11" t="s">
        <v>161</v>
      </c>
      <c r="AD12" s="11"/>
      <c r="AE12" s="11"/>
      <c r="AF12" s="11"/>
      <c r="AG12" s="11"/>
      <c r="AH12" s="11" t="s">
        <v>62</v>
      </c>
      <c r="AI12" s="11" t="s">
        <v>74</v>
      </c>
      <c r="AJ12" s="11" t="s">
        <v>164</v>
      </c>
      <c r="AK12" s="11" t="s">
        <v>165</v>
      </c>
      <c r="AL12" s="11" t="s">
        <v>77</v>
      </c>
      <c r="AM12" s="11" t="s">
        <v>78</v>
      </c>
      <c r="AN12" s="11" t="s">
        <v>79</v>
      </c>
      <c r="AO12" s="11" t="s">
        <v>79</v>
      </c>
      <c r="AP12" s="11" t="s">
        <v>80</v>
      </c>
      <c r="AQ12" s="11"/>
      <c r="AR12" s="11"/>
      <c r="AS12" s="11"/>
      <c r="AT12" s="11" t="s">
        <v>91</v>
      </c>
      <c r="AU12" s="11" t="s">
        <v>82</v>
      </c>
      <c r="AV12" s="11" t="s">
        <v>83</v>
      </c>
      <c r="AW12" s="9"/>
      <c r="AX12" s="9"/>
    </row>
    <row r="13" spans="1:50" ht="52.5" customHeight="1">
      <c r="A13" s="11" t="s">
        <v>52</v>
      </c>
      <c r="B13" s="11" t="s">
        <v>53</v>
      </c>
      <c r="C13" s="11" t="s">
        <v>54</v>
      </c>
      <c r="D13" s="11" t="s">
        <v>179</v>
      </c>
      <c r="E13" s="11" t="s">
        <v>181</v>
      </c>
      <c r="F13" s="13">
        <v>1</v>
      </c>
      <c r="G13" s="11" t="s">
        <v>57</v>
      </c>
      <c r="H13" s="11" t="s">
        <v>182</v>
      </c>
      <c r="I13" s="11" t="s">
        <v>183</v>
      </c>
      <c r="J13" s="11" t="s">
        <v>60</v>
      </c>
      <c r="K13" s="11" t="s">
        <v>61</v>
      </c>
      <c r="L13" s="11" t="s">
        <v>62</v>
      </c>
      <c r="M13" s="11" t="s">
        <v>63</v>
      </c>
      <c r="N13" s="11" t="s">
        <v>184</v>
      </c>
      <c r="O13" s="11" t="s">
        <v>185</v>
      </c>
      <c r="P13" s="11" t="s">
        <v>147</v>
      </c>
      <c r="Q13" s="11"/>
      <c r="R13" s="11"/>
      <c r="S13" s="11"/>
      <c r="T13" s="11"/>
      <c r="U13" s="11" t="s">
        <v>61</v>
      </c>
      <c r="V13" s="11" t="s">
        <v>66</v>
      </c>
      <c r="W13" s="11" t="s">
        <v>67</v>
      </c>
      <c r="X13" s="11" t="s">
        <v>68</v>
      </c>
      <c r="Y13" s="13">
        <v>10</v>
      </c>
      <c r="Z13" s="11" t="s">
        <v>69</v>
      </c>
      <c r="AA13" s="11"/>
      <c r="AB13" s="11" t="s">
        <v>70</v>
      </c>
      <c r="AC13" s="11" t="s">
        <v>161</v>
      </c>
      <c r="AD13" s="11"/>
      <c r="AE13" s="11"/>
      <c r="AF13" s="11"/>
      <c r="AG13" s="11"/>
      <c r="AH13" s="11" t="s">
        <v>62</v>
      </c>
      <c r="AI13" s="11" t="s">
        <v>74</v>
      </c>
      <c r="AJ13" s="11" t="s">
        <v>164</v>
      </c>
      <c r="AK13" s="11" t="s">
        <v>165</v>
      </c>
      <c r="AL13" s="11" t="s">
        <v>77</v>
      </c>
      <c r="AM13" s="11" t="s">
        <v>78</v>
      </c>
      <c r="AN13" s="11" t="s">
        <v>79</v>
      </c>
      <c r="AO13" s="11" t="s">
        <v>79</v>
      </c>
      <c r="AP13" s="11" t="s">
        <v>80</v>
      </c>
      <c r="AQ13" s="11"/>
      <c r="AR13" s="11"/>
      <c r="AS13" s="11"/>
      <c r="AT13" s="11" t="s">
        <v>91</v>
      </c>
      <c r="AU13" s="11" t="s">
        <v>82</v>
      </c>
      <c r="AV13" s="11" t="s">
        <v>83</v>
      </c>
      <c r="AW13" s="9"/>
      <c r="AX13" s="9"/>
    </row>
    <row r="14" spans="1:50" ht="144.75" customHeight="1">
      <c r="A14" s="11" t="s">
        <v>52</v>
      </c>
      <c r="B14" s="11" t="s">
        <v>53</v>
      </c>
      <c r="C14" s="11" t="s">
        <v>54</v>
      </c>
      <c r="D14" s="11" t="s">
        <v>190</v>
      </c>
      <c r="E14" s="11" t="s">
        <v>191</v>
      </c>
      <c r="F14" s="13">
        <v>1</v>
      </c>
      <c r="G14" s="11" t="s">
        <v>57</v>
      </c>
      <c r="H14" s="11" t="s">
        <v>182</v>
      </c>
      <c r="I14" s="11" t="s">
        <v>192</v>
      </c>
      <c r="J14" s="11" t="s">
        <v>60</v>
      </c>
      <c r="K14" s="11" t="s">
        <v>61</v>
      </c>
      <c r="L14" s="11" t="s">
        <v>62</v>
      </c>
      <c r="M14" s="11" t="s">
        <v>63</v>
      </c>
      <c r="N14" s="11" t="s">
        <v>194</v>
      </c>
      <c r="O14" s="11" t="s">
        <v>195</v>
      </c>
      <c r="P14" s="11" t="s">
        <v>147</v>
      </c>
      <c r="Q14" s="11"/>
      <c r="R14" s="11"/>
      <c r="S14" s="11"/>
      <c r="T14" s="11"/>
      <c r="U14" s="11" t="s">
        <v>61</v>
      </c>
      <c r="V14" s="11" t="s">
        <v>66</v>
      </c>
      <c r="W14" s="11" t="s">
        <v>67</v>
      </c>
      <c r="X14" s="11" t="s">
        <v>68</v>
      </c>
      <c r="Y14" s="13">
        <v>4</v>
      </c>
      <c r="Z14" s="11" t="s">
        <v>69</v>
      </c>
      <c r="AA14" s="11"/>
      <c r="AB14" s="11" t="s">
        <v>70</v>
      </c>
      <c r="AC14" s="11" t="s">
        <v>161</v>
      </c>
      <c r="AD14" s="11"/>
      <c r="AE14" s="11"/>
      <c r="AF14" s="11"/>
      <c r="AG14" s="11"/>
      <c r="AH14" s="11" t="s">
        <v>62</v>
      </c>
      <c r="AI14" s="11" t="s">
        <v>74</v>
      </c>
      <c r="AJ14" s="11" t="s">
        <v>164</v>
      </c>
      <c r="AK14" s="11" t="s">
        <v>165</v>
      </c>
      <c r="AL14" s="11" t="s">
        <v>77</v>
      </c>
      <c r="AM14" s="11" t="s">
        <v>78</v>
      </c>
      <c r="AN14" s="11" t="s">
        <v>79</v>
      </c>
      <c r="AO14" s="11" t="s">
        <v>79</v>
      </c>
      <c r="AP14" s="11" t="s">
        <v>80</v>
      </c>
      <c r="AQ14" s="11"/>
      <c r="AR14" s="11"/>
      <c r="AS14" s="11"/>
      <c r="AT14" s="11" t="s">
        <v>91</v>
      </c>
      <c r="AU14" s="11" t="s">
        <v>82</v>
      </c>
      <c r="AV14" s="11" t="s">
        <v>83</v>
      </c>
      <c r="AW14" s="9"/>
      <c r="AX14" s="9"/>
    </row>
    <row r="15" spans="1:50" ht="52.5" customHeight="1">
      <c r="A15" s="11" t="s">
        <v>52</v>
      </c>
      <c r="B15" s="11" t="s">
        <v>53</v>
      </c>
      <c r="C15" s="11" t="s">
        <v>54</v>
      </c>
      <c r="D15" s="11" t="s">
        <v>198</v>
      </c>
      <c r="E15" s="11" t="s">
        <v>199</v>
      </c>
      <c r="F15" s="13">
        <v>1</v>
      </c>
      <c r="G15" s="11" t="s">
        <v>57</v>
      </c>
      <c r="H15" s="11" t="s">
        <v>200</v>
      </c>
      <c r="I15" s="11" t="s">
        <v>201</v>
      </c>
      <c r="J15" s="11" t="s">
        <v>60</v>
      </c>
      <c r="K15" s="11" t="s">
        <v>61</v>
      </c>
      <c r="L15" s="11" t="s">
        <v>62</v>
      </c>
      <c r="M15" s="11" t="s">
        <v>63</v>
      </c>
      <c r="N15" s="11" t="s">
        <v>202</v>
      </c>
      <c r="O15" s="11" t="s">
        <v>203</v>
      </c>
      <c r="P15" s="11" t="s">
        <v>147</v>
      </c>
      <c r="Q15" s="11"/>
      <c r="R15" s="11"/>
      <c r="S15" s="11"/>
      <c r="T15" s="11"/>
      <c r="U15" s="11" t="s">
        <v>61</v>
      </c>
      <c r="V15" s="11" t="s">
        <v>66</v>
      </c>
      <c r="W15" s="11" t="s">
        <v>67</v>
      </c>
      <c r="X15" s="11" t="s">
        <v>68</v>
      </c>
      <c r="Y15" s="13">
        <v>1</v>
      </c>
      <c r="Z15" s="11" t="s">
        <v>69</v>
      </c>
      <c r="AA15" s="11"/>
      <c r="AB15" s="11" t="s">
        <v>70</v>
      </c>
      <c r="AC15" s="11" t="s">
        <v>161</v>
      </c>
      <c r="AD15" s="11"/>
      <c r="AE15" s="11"/>
      <c r="AF15" s="11"/>
      <c r="AG15" s="11"/>
      <c r="AH15" s="11" t="s">
        <v>62</v>
      </c>
      <c r="AI15" s="11" t="s">
        <v>74</v>
      </c>
      <c r="AJ15" s="11" t="s">
        <v>164</v>
      </c>
      <c r="AK15" s="11" t="s">
        <v>165</v>
      </c>
      <c r="AL15" s="11" t="s">
        <v>77</v>
      </c>
      <c r="AM15" s="11" t="s">
        <v>78</v>
      </c>
      <c r="AN15" s="11" t="s">
        <v>79</v>
      </c>
      <c r="AO15" s="11" t="s">
        <v>79</v>
      </c>
      <c r="AP15" s="11" t="s">
        <v>80</v>
      </c>
      <c r="AQ15" s="11"/>
      <c r="AR15" s="11"/>
      <c r="AS15" s="11"/>
      <c r="AT15" s="11" t="s">
        <v>91</v>
      </c>
      <c r="AU15" s="11" t="s">
        <v>82</v>
      </c>
      <c r="AV15" s="11" t="s">
        <v>83</v>
      </c>
      <c r="AW15" s="9"/>
      <c r="AX15" s="9"/>
    </row>
    <row r="16" spans="1:50" ht="52.5" customHeight="1">
      <c r="A16" s="11" t="s">
        <v>52</v>
      </c>
      <c r="B16" s="11" t="s">
        <v>53</v>
      </c>
      <c r="C16" s="11" t="s">
        <v>54</v>
      </c>
      <c r="D16" s="11" t="s">
        <v>206</v>
      </c>
      <c r="E16" s="11" t="s">
        <v>208</v>
      </c>
      <c r="F16" s="13">
        <v>1</v>
      </c>
      <c r="G16" s="11" t="s">
        <v>57</v>
      </c>
      <c r="H16" s="11" t="s">
        <v>173</v>
      </c>
      <c r="I16" s="11" t="s">
        <v>209</v>
      </c>
      <c r="J16" s="11" t="s">
        <v>60</v>
      </c>
      <c r="K16" s="11" t="s">
        <v>61</v>
      </c>
      <c r="L16" s="11" t="s">
        <v>62</v>
      </c>
      <c r="M16" s="11" t="s">
        <v>63</v>
      </c>
      <c r="N16" s="11" t="s">
        <v>210</v>
      </c>
      <c r="O16" s="11" t="s">
        <v>211</v>
      </c>
      <c r="P16" s="11" t="s">
        <v>147</v>
      </c>
      <c r="Q16" s="11"/>
      <c r="R16" s="11"/>
      <c r="S16" s="11"/>
      <c r="T16" s="11"/>
      <c r="U16" s="11" t="s">
        <v>61</v>
      </c>
      <c r="V16" s="11" t="s">
        <v>66</v>
      </c>
      <c r="W16" s="11" t="s">
        <v>67</v>
      </c>
      <c r="X16" s="11" t="s">
        <v>68</v>
      </c>
      <c r="Y16" s="13">
        <v>1</v>
      </c>
      <c r="Z16" s="11" t="s">
        <v>69</v>
      </c>
      <c r="AA16" s="11"/>
      <c r="AB16" s="11" t="s">
        <v>70</v>
      </c>
      <c r="AC16" s="11" t="s">
        <v>161</v>
      </c>
      <c r="AD16" s="11"/>
      <c r="AE16" s="11"/>
      <c r="AF16" s="11"/>
      <c r="AG16" s="11"/>
      <c r="AH16" s="11" t="s">
        <v>62</v>
      </c>
      <c r="AI16" s="11" t="s">
        <v>74</v>
      </c>
      <c r="AJ16" s="11" t="s">
        <v>164</v>
      </c>
      <c r="AK16" s="11" t="s">
        <v>165</v>
      </c>
      <c r="AL16" s="11" t="s">
        <v>77</v>
      </c>
      <c r="AM16" s="11" t="s">
        <v>78</v>
      </c>
      <c r="AN16" s="11" t="s">
        <v>79</v>
      </c>
      <c r="AO16" s="11" t="s">
        <v>79</v>
      </c>
      <c r="AP16" s="11" t="s">
        <v>80</v>
      </c>
      <c r="AQ16" s="11"/>
      <c r="AR16" s="11"/>
      <c r="AS16" s="11"/>
      <c r="AT16" s="11" t="s">
        <v>91</v>
      </c>
      <c r="AU16" s="11" t="s">
        <v>82</v>
      </c>
      <c r="AV16" s="11" t="s">
        <v>83</v>
      </c>
      <c r="AW16" s="9"/>
      <c r="AX16" s="9"/>
    </row>
    <row r="17" spans="1:50" ht="52.5" customHeight="1">
      <c r="A17" s="11" t="s">
        <v>52</v>
      </c>
      <c r="B17" s="11" t="s">
        <v>53</v>
      </c>
      <c r="C17" s="11" t="s">
        <v>54</v>
      </c>
      <c r="D17" s="11" t="s">
        <v>216</v>
      </c>
      <c r="E17" s="11" t="s">
        <v>217</v>
      </c>
      <c r="F17" s="13">
        <v>1</v>
      </c>
      <c r="G17" s="11" t="s">
        <v>57</v>
      </c>
      <c r="H17" s="11" t="s">
        <v>218</v>
      </c>
      <c r="I17" s="11" t="s">
        <v>219</v>
      </c>
      <c r="J17" s="11" t="s">
        <v>60</v>
      </c>
      <c r="K17" s="11" t="s">
        <v>61</v>
      </c>
      <c r="L17" s="11" t="s">
        <v>62</v>
      </c>
      <c r="M17" s="11" t="s">
        <v>63</v>
      </c>
      <c r="N17" s="11" t="s">
        <v>220</v>
      </c>
      <c r="O17" s="11" t="s">
        <v>221</v>
      </c>
      <c r="P17" s="11" t="s">
        <v>147</v>
      </c>
      <c r="Q17" s="11"/>
      <c r="R17" s="11"/>
      <c r="S17" s="11"/>
      <c r="T17" s="11"/>
      <c r="U17" s="11" t="s">
        <v>61</v>
      </c>
      <c r="V17" s="11" t="s">
        <v>66</v>
      </c>
      <c r="W17" s="11" t="s">
        <v>67</v>
      </c>
      <c r="X17" s="11" t="s">
        <v>68</v>
      </c>
      <c r="Y17" s="13">
        <v>1</v>
      </c>
      <c r="Z17" s="11" t="s">
        <v>69</v>
      </c>
      <c r="AA17" s="11"/>
      <c r="AB17" s="11" t="s">
        <v>70</v>
      </c>
      <c r="AC17" s="11" t="s">
        <v>224</v>
      </c>
      <c r="AD17" s="11"/>
      <c r="AE17" s="11"/>
      <c r="AF17" s="11"/>
      <c r="AG17" s="11"/>
      <c r="AH17" s="11" t="s">
        <v>62</v>
      </c>
      <c r="AI17" s="11" t="s">
        <v>74</v>
      </c>
      <c r="AJ17" s="11" t="s">
        <v>226</v>
      </c>
      <c r="AK17" s="11" t="s">
        <v>227</v>
      </c>
      <c r="AL17" s="11" t="s">
        <v>77</v>
      </c>
      <c r="AM17" s="11" t="s">
        <v>78</v>
      </c>
      <c r="AN17" s="11" t="s">
        <v>79</v>
      </c>
      <c r="AO17" s="11" t="s">
        <v>79</v>
      </c>
      <c r="AP17" s="11" t="s">
        <v>80</v>
      </c>
      <c r="AQ17" s="11"/>
      <c r="AR17" s="11"/>
      <c r="AS17" s="11"/>
      <c r="AT17" s="11" t="s">
        <v>130</v>
      </c>
      <c r="AU17" s="11" t="s">
        <v>82</v>
      </c>
      <c r="AV17" s="11" t="s">
        <v>83</v>
      </c>
      <c r="AW17" s="9"/>
      <c r="AX17" s="9"/>
    </row>
    <row r="18" spans="1:50" ht="52.5" customHeight="1">
      <c r="A18" s="11" t="s">
        <v>52</v>
      </c>
      <c r="B18" s="11" t="s">
        <v>53</v>
      </c>
      <c r="C18" s="11" t="s">
        <v>54</v>
      </c>
      <c r="D18" s="11" t="s">
        <v>230</v>
      </c>
      <c r="E18" s="11" t="s">
        <v>232</v>
      </c>
      <c r="F18" s="13">
        <v>1</v>
      </c>
      <c r="G18" s="11" t="s">
        <v>57</v>
      </c>
      <c r="H18" s="11" t="s">
        <v>218</v>
      </c>
      <c r="I18" s="11" t="s">
        <v>235</v>
      </c>
      <c r="J18" s="11" t="s">
        <v>60</v>
      </c>
      <c r="K18" s="11" t="s">
        <v>61</v>
      </c>
      <c r="L18" s="11" t="s">
        <v>62</v>
      </c>
      <c r="M18" s="11" t="s">
        <v>63</v>
      </c>
      <c r="N18" s="11" t="s">
        <v>236</v>
      </c>
      <c r="O18" s="11" t="s">
        <v>238</v>
      </c>
      <c r="P18" s="11" t="s">
        <v>147</v>
      </c>
      <c r="Q18" s="11"/>
      <c r="R18" s="11"/>
      <c r="S18" s="11"/>
      <c r="T18" s="11"/>
      <c r="U18" s="11" t="s">
        <v>61</v>
      </c>
      <c r="V18" s="11" t="s">
        <v>66</v>
      </c>
      <c r="W18" s="11" t="s">
        <v>67</v>
      </c>
      <c r="X18" s="11" t="s">
        <v>68</v>
      </c>
      <c r="Y18" s="13">
        <v>1</v>
      </c>
      <c r="Z18" s="11" t="s">
        <v>69</v>
      </c>
      <c r="AA18" s="11"/>
      <c r="AB18" s="11" t="s">
        <v>70</v>
      </c>
      <c r="AC18" s="11" t="s">
        <v>239</v>
      </c>
      <c r="AD18" s="11"/>
      <c r="AE18" s="11"/>
      <c r="AF18" s="11"/>
      <c r="AG18" s="11"/>
      <c r="AH18" s="11" t="s">
        <v>62</v>
      </c>
      <c r="AI18" s="11" t="s">
        <v>74</v>
      </c>
      <c r="AJ18" s="11" t="s">
        <v>226</v>
      </c>
      <c r="AK18" s="11" t="s">
        <v>227</v>
      </c>
      <c r="AL18" s="11" t="s">
        <v>77</v>
      </c>
      <c r="AM18" s="11" t="s">
        <v>78</v>
      </c>
      <c r="AN18" s="11" t="s">
        <v>79</v>
      </c>
      <c r="AO18" s="11" t="s">
        <v>79</v>
      </c>
      <c r="AP18" s="11" t="s">
        <v>80</v>
      </c>
      <c r="AQ18" s="11"/>
      <c r="AR18" s="11"/>
      <c r="AS18" s="11"/>
      <c r="AT18" s="11" t="s">
        <v>130</v>
      </c>
      <c r="AU18" s="11" t="s">
        <v>82</v>
      </c>
      <c r="AV18" s="11" t="s">
        <v>83</v>
      </c>
      <c r="AW18" s="9"/>
      <c r="AX18" s="9"/>
    </row>
    <row r="19" spans="1:50" ht="52.5" customHeight="1">
      <c r="A19" s="11" t="s">
        <v>52</v>
      </c>
      <c r="B19" s="11" t="s">
        <v>53</v>
      </c>
      <c r="C19" s="11" t="s">
        <v>54</v>
      </c>
      <c r="D19" s="11" t="s">
        <v>243</v>
      </c>
      <c r="E19" s="11" t="s">
        <v>244</v>
      </c>
      <c r="F19" s="13">
        <v>1</v>
      </c>
      <c r="G19" s="11" t="s">
        <v>57</v>
      </c>
      <c r="H19" s="11" t="s">
        <v>154</v>
      </c>
      <c r="I19" s="11" t="s">
        <v>245</v>
      </c>
      <c r="J19" s="11" t="s">
        <v>60</v>
      </c>
      <c r="K19" s="11" t="s">
        <v>61</v>
      </c>
      <c r="L19" s="11" t="s">
        <v>62</v>
      </c>
      <c r="M19" s="11" t="s">
        <v>63</v>
      </c>
      <c r="N19" s="11" t="s">
        <v>247</v>
      </c>
      <c r="O19" s="11" t="s">
        <v>248</v>
      </c>
      <c r="P19" s="11" t="s">
        <v>147</v>
      </c>
      <c r="Q19" s="11"/>
      <c r="R19" s="11"/>
      <c r="S19" s="11"/>
      <c r="T19" s="11"/>
      <c r="U19" s="11" t="s">
        <v>61</v>
      </c>
      <c r="V19" s="11" t="s">
        <v>66</v>
      </c>
      <c r="W19" s="11" t="s">
        <v>67</v>
      </c>
      <c r="X19" s="11" t="s">
        <v>68</v>
      </c>
      <c r="Y19" s="13">
        <v>5</v>
      </c>
      <c r="Z19" s="11" t="s">
        <v>69</v>
      </c>
      <c r="AA19" s="11"/>
      <c r="AB19" s="11" t="s">
        <v>70</v>
      </c>
      <c r="AC19" s="11" t="s">
        <v>161</v>
      </c>
      <c r="AD19" s="11"/>
      <c r="AE19" s="11"/>
      <c r="AF19" s="11"/>
      <c r="AG19" s="11"/>
      <c r="AH19" s="11" t="s">
        <v>62</v>
      </c>
      <c r="AI19" s="11" t="s">
        <v>74</v>
      </c>
      <c r="AJ19" s="11" t="s">
        <v>164</v>
      </c>
      <c r="AK19" s="11" t="s">
        <v>165</v>
      </c>
      <c r="AL19" s="11" t="s">
        <v>77</v>
      </c>
      <c r="AM19" s="11" t="s">
        <v>78</v>
      </c>
      <c r="AN19" s="11" t="s">
        <v>79</v>
      </c>
      <c r="AO19" s="11" t="s">
        <v>79</v>
      </c>
      <c r="AP19" s="11" t="s">
        <v>80</v>
      </c>
      <c r="AQ19" s="11"/>
      <c r="AR19" s="11"/>
      <c r="AS19" s="11"/>
      <c r="AT19" s="11" t="s">
        <v>91</v>
      </c>
      <c r="AU19" s="11" t="s">
        <v>82</v>
      </c>
      <c r="AV19" s="11" t="s">
        <v>83</v>
      </c>
      <c r="AW19" s="9"/>
      <c r="AX19" s="9"/>
    </row>
    <row r="20" spans="1:50" ht="52.5" customHeight="1">
      <c r="A20" s="11" t="s">
        <v>52</v>
      </c>
      <c r="B20" s="11" t="s">
        <v>53</v>
      </c>
      <c r="C20" s="11" t="s">
        <v>54</v>
      </c>
      <c r="D20" s="11" t="s">
        <v>251</v>
      </c>
      <c r="E20" s="11" t="s">
        <v>252</v>
      </c>
      <c r="F20" s="13">
        <v>1</v>
      </c>
      <c r="G20" s="11" t="s">
        <v>57</v>
      </c>
      <c r="H20" s="11" t="s">
        <v>200</v>
      </c>
      <c r="I20" s="11" t="s">
        <v>253</v>
      </c>
      <c r="J20" s="11" t="s">
        <v>60</v>
      </c>
      <c r="K20" s="11" t="s">
        <v>61</v>
      </c>
      <c r="L20" s="11" t="s">
        <v>62</v>
      </c>
      <c r="M20" s="11" t="s">
        <v>63</v>
      </c>
      <c r="N20" s="11" t="s">
        <v>255</v>
      </c>
      <c r="O20" s="11" t="s">
        <v>256</v>
      </c>
      <c r="P20" s="11" t="s">
        <v>147</v>
      </c>
      <c r="Q20" s="11"/>
      <c r="R20" s="11"/>
      <c r="S20" s="11"/>
      <c r="T20" s="11"/>
      <c r="U20" s="11" t="s">
        <v>61</v>
      </c>
      <c r="V20" s="11" t="s">
        <v>66</v>
      </c>
      <c r="W20" s="11" t="s">
        <v>67</v>
      </c>
      <c r="X20" s="11" t="s">
        <v>68</v>
      </c>
      <c r="Y20" s="13">
        <v>2</v>
      </c>
      <c r="Z20" s="11" t="s">
        <v>69</v>
      </c>
      <c r="AA20" s="11"/>
      <c r="AB20" s="11" t="s">
        <v>70</v>
      </c>
      <c r="AC20" s="11" t="s">
        <v>161</v>
      </c>
      <c r="AD20" s="11"/>
      <c r="AE20" s="11"/>
      <c r="AF20" s="11"/>
      <c r="AG20" s="11"/>
      <c r="AH20" s="11" t="s">
        <v>62</v>
      </c>
      <c r="AI20" s="11" t="s">
        <v>74</v>
      </c>
      <c r="AJ20" s="11" t="s">
        <v>164</v>
      </c>
      <c r="AK20" s="11" t="s">
        <v>165</v>
      </c>
      <c r="AL20" s="11" t="s">
        <v>77</v>
      </c>
      <c r="AM20" s="11" t="s">
        <v>78</v>
      </c>
      <c r="AN20" s="11" t="s">
        <v>79</v>
      </c>
      <c r="AO20" s="11" t="s">
        <v>79</v>
      </c>
      <c r="AP20" s="11" t="s">
        <v>80</v>
      </c>
      <c r="AQ20" s="11"/>
      <c r="AR20" s="11"/>
      <c r="AS20" s="11"/>
      <c r="AT20" s="11" t="s">
        <v>91</v>
      </c>
      <c r="AU20" s="11" t="s">
        <v>82</v>
      </c>
      <c r="AV20" s="11" t="s">
        <v>83</v>
      </c>
      <c r="AW20" s="9"/>
      <c r="AX20" s="9"/>
    </row>
    <row r="21" spans="1:50" ht="52.5" customHeight="1">
      <c r="A21" s="11" t="s">
        <v>52</v>
      </c>
      <c r="B21" s="11" t="s">
        <v>53</v>
      </c>
      <c r="C21" s="11" t="s">
        <v>54</v>
      </c>
      <c r="D21" s="11" t="s">
        <v>260</v>
      </c>
      <c r="E21" s="11" t="s">
        <v>261</v>
      </c>
      <c r="F21" s="13">
        <v>1</v>
      </c>
      <c r="G21" s="11" t="s">
        <v>57</v>
      </c>
      <c r="H21" s="11" t="s">
        <v>200</v>
      </c>
      <c r="I21" s="11" t="s">
        <v>262</v>
      </c>
      <c r="J21" s="11" t="s">
        <v>60</v>
      </c>
      <c r="K21" s="11" t="s">
        <v>61</v>
      </c>
      <c r="L21" s="11" t="s">
        <v>62</v>
      </c>
      <c r="M21" s="11" t="s">
        <v>63</v>
      </c>
      <c r="N21" s="11" t="s">
        <v>263</v>
      </c>
      <c r="O21" s="11" t="s">
        <v>264</v>
      </c>
      <c r="P21" s="11" t="s">
        <v>147</v>
      </c>
      <c r="Q21" s="11"/>
      <c r="R21" s="11"/>
      <c r="S21" s="11"/>
      <c r="T21" s="11"/>
      <c r="U21" s="11" t="s">
        <v>61</v>
      </c>
      <c r="V21" s="11" t="s">
        <v>66</v>
      </c>
      <c r="W21" s="11" t="s">
        <v>67</v>
      </c>
      <c r="X21" s="11" t="s">
        <v>68</v>
      </c>
      <c r="Y21" s="13">
        <v>2</v>
      </c>
      <c r="Z21" s="11" t="s">
        <v>69</v>
      </c>
      <c r="AA21" s="11"/>
      <c r="AB21" s="11" t="s">
        <v>70</v>
      </c>
      <c r="AC21" s="11" t="s">
        <v>161</v>
      </c>
      <c r="AD21" s="11"/>
      <c r="AE21" s="11"/>
      <c r="AF21" s="11"/>
      <c r="AG21" s="11"/>
      <c r="AH21" s="11" t="s">
        <v>62</v>
      </c>
      <c r="AI21" s="11" t="s">
        <v>74</v>
      </c>
      <c r="AJ21" s="11" t="s">
        <v>164</v>
      </c>
      <c r="AK21" s="11" t="s">
        <v>165</v>
      </c>
      <c r="AL21" s="11" t="s">
        <v>77</v>
      </c>
      <c r="AM21" s="11" t="s">
        <v>78</v>
      </c>
      <c r="AN21" s="11" t="s">
        <v>79</v>
      </c>
      <c r="AO21" s="11" t="s">
        <v>79</v>
      </c>
      <c r="AP21" s="11" t="s">
        <v>80</v>
      </c>
      <c r="AQ21" s="11"/>
      <c r="AR21" s="11"/>
      <c r="AS21" s="11"/>
      <c r="AT21" s="11" t="s">
        <v>91</v>
      </c>
      <c r="AU21" s="11" t="s">
        <v>82</v>
      </c>
      <c r="AV21" s="11" t="s">
        <v>83</v>
      </c>
      <c r="AW21" s="9"/>
      <c r="AX21" s="9"/>
    </row>
    <row r="22" spans="1:50" ht="52.5" customHeight="1">
      <c r="A22" s="11" t="s">
        <v>52</v>
      </c>
      <c r="B22" s="11" t="s">
        <v>53</v>
      </c>
      <c r="C22" s="11" t="s">
        <v>54</v>
      </c>
      <c r="D22" s="11" t="s">
        <v>267</v>
      </c>
      <c r="E22" s="11" t="s">
        <v>268</v>
      </c>
      <c r="F22" s="13">
        <v>1</v>
      </c>
      <c r="G22" s="11" t="s">
        <v>57</v>
      </c>
      <c r="H22" s="11" t="s">
        <v>178</v>
      </c>
      <c r="I22" s="11" t="s">
        <v>269</v>
      </c>
      <c r="J22" s="11" t="s">
        <v>60</v>
      </c>
      <c r="K22" s="11" t="s">
        <v>61</v>
      </c>
      <c r="L22" s="11" t="s">
        <v>62</v>
      </c>
      <c r="M22" s="11" t="s">
        <v>63</v>
      </c>
      <c r="N22" s="11" t="s">
        <v>270</v>
      </c>
      <c r="O22" s="11" t="s">
        <v>272</v>
      </c>
      <c r="P22" s="11" t="s">
        <v>147</v>
      </c>
      <c r="Q22" s="11"/>
      <c r="R22" s="11"/>
      <c r="S22" s="11"/>
      <c r="T22" s="11"/>
      <c r="U22" s="11" t="s">
        <v>61</v>
      </c>
      <c r="V22" s="11" t="s">
        <v>66</v>
      </c>
      <c r="W22" s="11" t="s">
        <v>67</v>
      </c>
      <c r="X22" s="11" t="s">
        <v>68</v>
      </c>
      <c r="Y22" s="13">
        <v>1</v>
      </c>
      <c r="Z22" s="11" t="s">
        <v>69</v>
      </c>
      <c r="AA22" s="11"/>
      <c r="AB22" s="11" t="s">
        <v>70</v>
      </c>
      <c r="AC22" s="11" t="s">
        <v>161</v>
      </c>
      <c r="AD22" s="11"/>
      <c r="AE22" s="11"/>
      <c r="AF22" s="11"/>
      <c r="AG22" s="11"/>
      <c r="AH22" s="11" t="s">
        <v>62</v>
      </c>
      <c r="AI22" s="11" t="s">
        <v>74</v>
      </c>
      <c r="AJ22" s="11" t="s">
        <v>164</v>
      </c>
      <c r="AK22" s="11" t="s">
        <v>165</v>
      </c>
      <c r="AL22" s="11" t="s">
        <v>77</v>
      </c>
      <c r="AM22" s="11" t="s">
        <v>78</v>
      </c>
      <c r="AN22" s="11" t="s">
        <v>79</v>
      </c>
      <c r="AO22" s="11" t="s">
        <v>79</v>
      </c>
      <c r="AP22" s="11" t="s">
        <v>80</v>
      </c>
      <c r="AQ22" s="11"/>
      <c r="AR22" s="11"/>
      <c r="AS22" s="11"/>
      <c r="AT22" s="11" t="s">
        <v>91</v>
      </c>
      <c r="AU22" s="11" t="s">
        <v>82</v>
      </c>
      <c r="AV22" s="11" t="s">
        <v>83</v>
      </c>
      <c r="AW22" s="9"/>
      <c r="AX22" s="9"/>
    </row>
    <row r="23" spans="1:50" ht="52.5" customHeight="1">
      <c r="A23" s="11" t="s">
        <v>52</v>
      </c>
      <c r="B23" s="11" t="s">
        <v>53</v>
      </c>
      <c r="C23" s="11" t="s">
        <v>54</v>
      </c>
      <c r="D23" s="11" t="s">
        <v>275</v>
      </c>
      <c r="E23" s="11" t="s">
        <v>276</v>
      </c>
      <c r="F23" s="13">
        <v>1</v>
      </c>
      <c r="G23" s="11" t="s">
        <v>57</v>
      </c>
      <c r="H23" s="11" t="s">
        <v>173</v>
      </c>
      <c r="I23" s="11" t="s">
        <v>277</v>
      </c>
      <c r="J23" s="11" t="s">
        <v>60</v>
      </c>
      <c r="K23" s="11" t="s">
        <v>61</v>
      </c>
      <c r="L23" s="11" t="s">
        <v>62</v>
      </c>
      <c r="M23" s="11" t="s">
        <v>63</v>
      </c>
      <c r="N23" s="11" t="s">
        <v>279</v>
      </c>
      <c r="O23" s="11" t="s">
        <v>280</v>
      </c>
      <c r="P23" s="11" t="s">
        <v>147</v>
      </c>
      <c r="Q23" s="11"/>
      <c r="R23" s="11"/>
      <c r="S23" s="11"/>
      <c r="T23" s="11"/>
      <c r="U23" s="11" t="s">
        <v>61</v>
      </c>
      <c r="V23" s="11" t="s">
        <v>66</v>
      </c>
      <c r="W23" s="11" t="s">
        <v>67</v>
      </c>
      <c r="X23" s="11" t="s">
        <v>68</v>
      </c>
      <c r="Y23" s="13">
        <v>1</v>
      </c>
      <c r="Z23" s="11" t="s">
        <v>69</v>
      </c>
      <c r="AA23" s="11"/>
      <c r="AB23" s="11" t="s">
        <v>70</v>
      </c>
      <c r="AC23" s="11" t="s">
        <v>161</v>
      </c>
      <c r="AD23" s="11"/>
      <c r="AE23" s="11"/>
      <c r="AF23" s="11"/>
      <c r="AG23" s="11"/>
      <c r="AH23" s="11" t="s">
        <v>62</v>
      </c>
      <c r="AI23" s="11" t="s">
        <v>74</v>
      </c>
      <c r="AJ23" s="11" t="s">
        <v>164</v>
      </c>
      <c r="AK23" s="11" t="s">
        <v>165</v>
      </c>
      <c r="AL23" s="11" t="s">
        <v>77</v>
      </c>
      <c r="AM23" s="11" t="s">
        <v>78</v>
      </c>
      <c r="AN23" s="11" t="s">
        <v>79</v>
      </c>
      <c r="AO23" s="11" t="s">
        <v>79</v>
      </c>
      <c r="AP23" s="11" t="s">
        <v>80</v>
      </c>
      <c r="AQ23" s="11"/>
      <c r="AR23" s="11"/>
      <c r="AS23" s="11"/>
      <c r="AT23" s="11" t="s">
        <v>91</v>
      </c>
      <c r="AU23" s="11" t="s">
        <v>82</v>
      </c>
      <c r="AV23" s="11" t="s">
        <v>83</v>
      </c>
      <c r="AW23" s="9"/>
      <c r="AX23" s="9"/>
    </row>
    <row r="24" spans="1:50" ht="52.5" customHeight="1">
      <c r="A24" s="11" t="s">
        <v>52</v>
      </c>
      <c r="B24" s="11" t="s">
        <v>53</v>
      </c>
      <c r="C24" s="11" t="s">
        <v>54</v>
      </c>
      <c r="D24" s="11" t="s">
        <v>283</v>
      </c>
      <c r="E24" s="11" t="s">
        <v>284</v>
      </c>
      <c r="F24" s="13">
        <v>1</v>
      </c>
      <c r="G24" s="11" t="s">
        <v>57</v>
      </c>
      <c r="H24" s="11" t="s">
        <v>218</v>
      </c>
      <c r="I24" s="11" t="s">
        <v>285</v>
      </c>
      <c r="J24" s="11" t="s">
        <v>60</v>
      </c>
      <c r="K24" s="11" t="s">
        <v>61</v>
      </c>
      <c r="L24" s="11" t="s">
        <v>62</v>
      </c>
      <c r="M24" s="11" t="s">
        <v>63</v>
      </c>
      <c r="N24" s="11" t="s">
        <v>286</v>
      </c>
      <c r="O24" s="11" t="s">
        <v>287</v>
      </c>
      <c r="P24" s="11" t="s">
        <v>147</v>
      </c>
      <c r="Q24" s="11"/>
      <c r="R24" s="11"/>
      <c r="S24" s="11"/>
      <c r="T24" s="11"/>
      <c r="U24" s="11" t="s">
        <v>61</v>
      </c>
      <c r="V24" s="11" t="s">
        <v>66</v>
      </c>
      <c r="W24" s="11" t="s">
        <v>67</v>
      </c>
      <c r="X24" s="11" t="s">
        <v>68</v>
      </c>
      <c r="Y24" s="13">
        <v>1</v>
      </c>
      <c r="Z24" s="11" t="s">
        <v>69</v>
      </c>
      <c r="AA24" s="11"/>
      <c r="AB24" s="11" t="s">
        <v>70</v>
      </c>
      <c r="AC24" s="11" t="s">
        <v>288</v>
      </c>
      <c r="AD24" s="11"/>
      <c r="AE24" s="11"/>
      <c r="AF24" s="11"/>
      <c r="AG24" s="11"/>
      <c r="AH24" s="11" t="s">
        <v>62</v>
      </c>
      <c r="AI24" s="11" t="s">
        <v>74</v>
      </c>
      <c r="AJ24" s="11" t="s">
        <v>289</v>
      </c>
      <c r="AK24" s="11" t="s">
        <v>227</v>
      </c>
      <c r="AL24" s="11" t="s">
        <v>77</v>
      </c>
      <c r="AM24" s="11" t="s">
        <v>78</v>
      </c>
      <c r="AN24" s="11" t="s">
        <v>79</v>
      </c>
      <c r="AO24" s="11" t="s">
        <v>79</v>
      </c>
      <c r="AP24" s="11" t="s">
        <v>80</v>
      </c>
      <c r="AQ24" s="11"/>
      <c r="AR24" s="11"/>
      <c r="AS24" s="11"/>
      <c r="AT24" s="11" t="s">
        <v>130</v>
      </c>
      <c r="AU24" s="11" t="s">
        <v>82</v>
      </c>
      <c r="AV24" s="11" t="s">
        <v>83</v>
      </c>
      <c r="AW24" s="9"/>
      <c r="AX24" s="9"/>
    </row>
    <row r="25" spans="1:50" ht="52.5" customHeight="1">
      <c r="A25" s="11" t="s">
        <v>52</v>
      </c>
      <c r="B25" s="11" t="s">
        <v>53</v>
      </c>
      <c r="C25" s="11" t="s">
        <v>54</v>
      </c>
      <c r="D25" s="11" t="s">
        <v>292</v>
      </c>
      <c r="E25" s="11" t="s">
        <v>293</v>
      </c>
      <c r="F25" s="13">
        <v>1</v>
      </c>
      <c r="G25" s="11" t="s">
        <v>57</v>
      </c>
      <c r="H25" s="11" t="s">
        <v>218</v>
      </c>
      <c r="I25" s="11" t="s">
        <v>294</v>
      </c>
      <c r="J25" s="11" t="s">
        <v>60</v>
      </c>
      <c r="K25" s="11" t="s">
        <v>61</v>
      </c>
      <c r="L25" s="11" t="s">
        <v>62</v>
      </c>
      <c r="M25" s="11" t="s">
        <v>63</v>
      </c>
      <c r="N25" s="11" t="s">
        <v>295</v>
      </c>
      <c r="O25" s="11" t="s">
        <v>296</v>
      </c>
      <c r="P25" s="11" t="s">
        <v>147</v>
      </c>
      <c r="Q25" s="11"/>
      <c r="R25" s="11"/>
      <c r="S25" s="11"/>
      <c r="T25" s="11"/>
      <c r="U25" s="11" t="s">
        <v>61</v>
      </c>
      <c r="V25" s="11" t="s">
        <v>66</v>
      </c>
      <c r="W25" s="11" t="s">
        <v>67</v>
      </c>
      <c r="X25" s="11" t="s">
        <v>68</v>
      </c>
      <c r="Y25" s="13">
        <v>1</v>
      </c>
      <c r="Z25" s="11" t="s">
        <v>69</v>
      </c>
      <c r="AA25" s="11"/>
      <c r="AB25" s="11" t="s">
        <v>70</v>
      </c>
      <c r="AC25" s="11" t="s">
        <v>299</v>
      </c>
      <c r="AD25" s="11"/>
      <c r="AE25" s="11"/>
      <c r="AF25" s="11"/>
      <c r="AG25" s="11"/>
      <c r="AH25" s="11" t="s">
        <v>62</v>
      </c>
      <c r="AI25" s="11" t="s">
        <v>74</v>
      </c>
      <c r="AJ25" s="11" t="s">
        <v>289</v>
      </c>
      <c r="AK25" s="11" t="s">
        <v>227</v>
      </c>
      <c r="AL25" s="11" t="s">
        <v>77</v>
      </c>
      <c r="AM25" s="11" t="s">
        <v>78</v>
      </c>
      <c r="AN25" s="11" t="s">
        <v>79</v>
      </c>
      <c r="AO25" s="11" t="s">
        <v>79</v>
      </c>
      <c r="AP25" s="11" t="s">
        <v>80</v>
      </c>
      <c r="AQ25" s="11"/>
      <c r="AR25" s="11"/>
      <c r="AS25" s="11"/>
      <c r="AT25" s="11" t="s">
        <v>130</v>
      </c>
      <c r="AU25" s="11" t="s">
        <v>82</v>
      </c>
      <c r="AV25" s="11" t="s">
        <v>83</v>
      </c>
      <c r="AW25" s="9"/>
      <c r="AX25" s="9"/>
    </row>
    <row r="26" spans="1:50" ht="52.5" customHeight="1">
      <c r="A26" s="11" t="s">
        <v>52</v>
      </c>
      <c r="B26" s="11" t="s">
        <v>53</v>
      </c>
      <c r="C26" s="11" t="s">
        <v>54</v>
      </c>
      <c r="D26" s="11" t="s">
        <v>300</v>
      </c>
      <c r="E26" s="11" t="s">
        <v>301</v>
      </c>
      <c r="F26" s="13">
        <v>1</v>
      </c>
      <c r="G26" s="11" t="s">
        <v>57</v>
      </c>
      <c r="H26" s="11" t="s">
        <v>218</v>
      </c>
      <c r="I26" s="11" t="s">
        <v>302</v>
      </c>
      <c r="J26" s="11" t="s">
        <v>60</v>
      </c>
      <c r="K26" s="11" t="s">
        <v>61</v>
      </c>
      <c r="L26" s="11" t="s">
        <v>62</v>
      </c>
      <c r="M26" s="11" t="s">
        <v>63</v>
      </c>
      <c r="N26" s="11" t="s">
        <v>303</v>
      </c>
      <c r="O26" s="11" t="s">
        <v>304</v>
      </c>
      <c r="P26" s="11" t="s">
        <v>147</v>
      </c>
      <c r="Q26" s="11"/>
      <c r="R26" s="11"/>
      <c r="S26" s="11"/>
      <c r="T26" s="11"/>
      <c r="U26" s="11" t="s">
        <v>61</v>
      </c>
      <c r="V26" s="11" t="s">
        <v>66</v>
      </c>
      <c r="W26" s="11" t="s">
        <v>67</v>
      </c>
      <c r="X26" s="11" t="s">
        <v>68</v>
      </c>
      <c r="Y26" s="13">
        <v>1</v>
      </c>
      <c r="Z26" s="11" t="s">
        <v>69</v>
      </c>
      <c r="AA26" s="11"/>
      <c r="AB26" s="11" t="s">
        <v>70</v>
      </c>
      <c r="AC26" s="11" t="s">
        <v>306</v>
      </c>
      <c r="AD26" s="11"/>
      <c r="AE26" s="11"/>
      <c r="AF26" s="11"/>
      <c r="AG26" s="11"/>
      <c r="AH26" s="11" t="s">
        <v>62</v>
      </c>
      <c r="AI26" s="11" t="s">
        <v>74</v>
      </c>
      <c r="AJ26" s="11" t="s">
        <v>226</v>
      </c>
      <c r="AK26" s="11" t="s">
        <v>227</v>
      </c>
      <c r="AL26" s="11" t="s">
        <v>77</v>
      </c>
      <c r="AM26" s="11" t="s">
        <v>78</v>
      </c>
      <c r="AN26" s="11" t="s">
        <v>79</v>
      </c>
      <c r="AO26" s="11" t="s">
        <v>79</v>
      </c>
      <c r="AP26" s="11" t="s">
        <v>80</v>
      </c>
      <c r="AQ26" s="11"/>
      <c r="AR26" s="11"/>
      <c r="AS26" s="11"/>
      <c r="AT26" s="11" t="s">
        <v>130</v>
      </c>
      <c r="AU26" s="11" t="s">
        <v>82</v>
      </c>
      <c r="AV26" s="11" t="s">
        <v>83</v>
      </c>
      <c r="AW26" s="9"/>
      <c r="AX26" s="9"/>
    </row>
    <row r="27" spans="1:50" ht="52.5" customHeight="1">
      <c r="A27" s="11" t="s">
        <v>52</v>
      </c>
      <c r="B27" s="11" t="s">
        <v>53</v>
      </c>
      <c r="C27" s="11" t="s">
        <v>54</v>
      </c>
      <c r="D27" s="11" t="s">
        <v>308</v>
      </c>
      <c r="E27" s="11" t="s">
        <v>309</v>
      </c>
      <c r="F27" s="13">
        <v>1</v>
      </c>
      <c r="G27" s="11" t="s">
        <v>57</v>
      </c>
      <c r="H27" s="11" t="s">
        <v>218</v>
      </c>
      <c r="I27" s="11" t="s">
        <v>311</v>
      </c>
      <c r="J27" s="11" t="s">
        <v>60</v>
      </c>
      <c r="K27" s="11" t="s">
        <v>61</v>
      </c>
      <c r="L27" s="11" t="s">
        <v>62</v>
      </c>
      <c r="M27" s="11" t="s">
        <v>63</v>
      </c>
      <c r="N27" s="11" t="s">
        <v>312</v>
      </c>
      <c r="O27" s="11" t="s">
        <v>313</v>
      </c>
      <c r="P27" s="11" t="s">
        <v>147</v>
      </c>
      <c r="Q27" s="11"/>
      <c r="R27" s="11"/>
      <c r="S27" s="11"/>
      <c r="T27" s="11"/>
      <c r="U27" s="11" t="s">
        <v>61</v>
      </c>
      <c r="V27" s="11" t="s">
        <v>66</v>
      </c>
      <c r="W27" s="11" t="s">
        <v>67</v>
      </c>
      <c r="X27" s="11" t="s">
        <v>68</v>
      </c>
      <c r="Y27" s="13">
        <v>1</v>
      </c>
      <c r="Z27" s="11" t="s">
        <v>69</v>
      </c>
      <c r="AA27" s="11"/>
      <c r="AB27" s="11" t="s">
        <v>70</v>
      </c>
      <c r="AC27" s="11" t="s">
        <v>314</v>
      </c>
      <c r="AD27" s="11"/>
      <c r="AE27" s="11"/>
      <c r="AF27" s="11"/>
      <c r="AG27" s="11"/>
      <c r="AH27" s="11" t="s">
        <v>62</v>
      </c>
      <c r="AI27" s="11" t="s">
        <v>74</v>
      </c>
      <c r="AJ27" s="11" t="s">
        <v>226</v>
      </c>
      <c r="AK27" s="11" t="s">
        <v>227</v>
      </c>
      <c r="AL27" s="11" t="s">
        <v>77</v>
      </c>
      <c r="AM27" s="11" t="s">
        <v>78</v>
      </c>
      <c r="AN27" s="11" t="s">
        <v>79</v>
      </c>
      <c r="AO27" s="11" t="s">
        <v>79</v>
      </c>
      <c r="AP27" s="11" t="s">
        <v>80</v>
      </c>
      <c r="AQ27" s="11"/>
      <c r="AR27" s="11"/>
      <c r="AS27" s="11"/>
      <c r="AT27" s="11" t="s">
        <v>130</v>
      </c>
      <c r="AU27" s="11" t="s">
        <v>82</v>
      </c>
      <c r="AV27" s="11" t="s">
        <v>83</v>
      </c>
      <c r="AW27" s="9"/>
      <c r="AX27" s="9"/>
    </row>
    <row r="28" spans="1:50" ht="52.5" customHeight="1">
      <c r="A28" s="11" t="s">
        <v>52</v>
      </c>
      <c r="B28" s="11" t="s">
        <v>53</v>
      </c>
      <c r="C28" s="11" t="s">
        <v>318</v>
      </c>
      <c r="D28" s="11" t="s">
        <v>319</v>
      </c>
      <c r="E28" s="11" t="s">
        <v>320</v>
      </c>
      <c r="F28" s="13">
        <v>1</v>
      </c>
      <c r="G28" s="11" t="s">
        <v>57</v>
      </c>
      <c r="H28" s="11" t="s">
        <v>58</v>
      </c>
      <c r="I28" s="11" t="s">
        <v>321</v>
      </c>
      <c r="J28" s="11" t="s">
        <v>60</v>
      </c>
      <c r="K28" s="11" t="s">
        <v>61</v>
      </c>
      <c r="L28" s="11" t="s">
        <v>73</v>
      </c>
      <c r="M28" s="11" t="s">
        <v>63</v>
      </c>
      <c r="N28" s="11" t="s">
        <v>322</v>
      </c>
      <c r="O28" s="11" t="s">
        <v>320</v>
      </c>
      <c r="P28" s="11" t="s">
        <v>318</v>
      </c>
      <c r="Q28" s="11"/>
      <c r="R28" s="11"/>
      <c r="S28" s="11"/>
      <c r="T28" s="11"/>
      <c r="U28" s="11" t="s">
        <v>61</v>
      </c>
      <c r="V28" s="11" t="s">
        <v>323</v>
      </c>
      <c r="W28" s="11" t="s">
        <v>67</v>
      </c>
      <c r="X28" s="11" t="s">
        <v>68</v>
      </c>
      <c r="Y28" s="13">
        <v>1</v>
      </c>
      <c r="Z28" s="11" t="s">
        <v>324</v>
      </c>
      <c r="AA28" s="11"/>
      <c r="AB28" s="11" t="s">
        <v>70</v>
      </c>
      <c r="AC28" s="11" t="s">
        <v>325</v>
      </c>
      <c r="AD28" s="11"/>
      <c r="AE28" s="11"/>
      <c r="AF28" s="11"/>
      <c r="AG28" s="11"/>
      <c r="AH28" s="11" t="s">
        <v>73</v>
      </c>
      <c r="AI28" s="11" t="s">
        <v>74</v>
      </c>
      <c r="AJ28" s="11" t="s">
        <v>97</v>
      </c>
      <c r="AK28" s="11" t="s">
        <v>326</v>
      </c>
      <c r="AL28" s="11" t="s">
        <v>77</v>
      </c>
      <c r="AM28" s="11" t="s">
        <v>78</v>
      </c>
      <c r="AN28" s="11" t="s">
        <v>79</v>
      </c>
      <c r="AO28" s="11" t="s">
        <v>79</v>
      </c>
      <c r="AP28" s="11" t="s">
        <v>80</v>
      </c>
      <c r="AQ28" s="11"/>
      <c r="AR28" s="11"/>
      <c r="AS28" s="11"/>
      <c r="AT28" s="11" t="s">
        <v>91</v>
      </c>
      <c r="AU28" s="11" t="s">
        <v>82</v>
      </c>
      <c r="AV28" s="11" t="s">
        <v>83</v>
      </c>
      <c r="AW28" s="9"/>
      <c r="AX28" s="9"/>
    </row>
    <row r="29" spans="1:50" ht="52.5" customHeight="1">
      <c r="A29" s="11" t="s">
        <v>52</v>
      </c>
      <c r="B29" s="11" t="s">
        <v>53</v>
      </c>
      <c r="C29" s="11" t="s">
        <v>318</v>
      </c>
      <c r="D29" s="11" t="s">
        <v>328</v>
      </c>
      <c r="E29" s="11" t="s">
        <v>329</v>
      </c>
      <c r="F29" s="13">
        <v>1</v>
      </c>
      <c r="G29" s="11" t="s">
        <v>57</v>
      </c>
      <c r="H29" s="11" t="s">
        <v>58</v>
      </c>
      <c r="I29" s="11" t="s">
        <v>331</v>
      </c>
      <c r="J29" s="11" t="s">
        <v>60</v>
      </c>
      <c r="K29" s="11" t="s">
        <v>61</v>
      </c>
      <c r="L29" s="11" t="s">
        <v>73</v>
      </c>
      <c r="M29" s="11" t="s">
        <v>63</v>
      </c>
      <c r="N29" s="11" t="s">
        <v>332</v>
      </c>
      <c r="O29" s="11" t="s">
        <v>329</v>
      </c>
      <c r="P29" s="11" t="s">
        <v>318</v>
      </c>
      <c r="Q29" s="11"/>
      <c r="R29" s="11"/>
      <c r="S29" s="11"/>
      <c r="T29" s="11"/>
      <c r="U29" s="11" t="s">
        <v>61</v>
      </c>
      <c r="V29" s="11" t="s">
        <v>323</v>
      </c>
      <c r="W29" s="11" t="s">
        <v>67</v>
      </c>
      <c r="X29" s="11" t="s">
        <v>68</v>
      </c>
      <c r="Y29" s="13">
        <v>1</v>
      </c>
      <c r="Z29" s="11" t="s">
        <v>324</v>
      </c>
      <c r="AA29" s="11"/>
      <c r="AB29" s="11" t="s">
        <v>70</v>
      </c>
      <c r="AC29" s="11" t="s">
        <v>334</v>
      </c>
      <c r="AD29" s="11"/>
      <c r="AE29" s="11"/>
      <c r="AF29" s="11"/>
      <c r="AG29" s="11"/>
      <c r="AH29" s="11" t="s">
        <v>62</v>
      </c>
      <c r="AI29" s="11" t="s">
        <v>74</v>
      </c>
      <c r="AJ29" s="11" t="s">
        <v>226</v>
      </c>
      <c r="AK29" s="11" t="s">
        <v>335</v>
      </c>
      <c r="AL29" s="11" t="s">
        <v>77</v>
      </c>
      <c r="AM29" s="11" t="s">
        <v>78</v>
      </c>
      <c r="AN29" s="11" t="s">
        <v>79</v>
      </c>
      <c r="AO29" s="11" t="s">
        <v>79</v>
      </c>
      <c r="AP29" s="11" t="s">
        <v>80</v>
      </c>
      <c r="AQ29" s="11"/>
      <c r="AR29" s="11"/>
      <c r="AS29" s="11"/>
      <c r="AT29" s="11" t="s">
        <v>91</v>
      </c>
      <c r="AU29" s="11" t="s">
        <v>82</v>
      </c>
      <c r="AV29" s="11" t="s">
        <v>83</v>
      </c>
      <c r="AW29" s="9"/>
      <c r="AX29" s="9"/>
    </row>
    <row r="30" spans="1:50" ht="52.5" customHeight="1">
      <c r="A30" s="11" t="s">
        <v>52</v>
      </c>
      <c r="B30" s="11" t="s">
        <v>53</v>
      </c>
      <c r="C30" s="11" t="s">
        <v>318</v>
      </c>
      <c r="D30" s="11" t="s">
        <v>336</v>
      </c>
      <c r="E30" s="11" t="s">
        <v>337</v>
      </c>
      <c r="F30" s="13">
        <v>1</v>
      </c>
      <c r="G30" s="11" t="s">
        <v>57</v>
      </c>
      <c r="H30" s="11" t="s">
        <v>58</v>
      </c>
      <c r="I30" s="11" t="s">
        <v>338</v>
      </c>
      <c r="J30" s="11" t="s">
        <v>60</v>
      </c>
      <c r="K30" s="11" t="s">
        <v>61</v>
      </c>
      <c r="L30" s="11" t="s">
        <v>73</v>
      </c>
      <c r="M30" s="11" t="s">
        <v>63</v>
      </c>
      <c r="N30" s="11" t="s">
        <v>339</v>
      </c>
      <c r="O30" s="11" t="s">
        <v>337</v>
      </c>
      <c r="P30" s="11" t="s">
        <v>318</v>
      </c>
      <c r="Q30" s="11"/>
      <c r="R30" s="11"/>
      <c r="S30" s="11"/>
      <c r="T30" s="11"/>
      <c r="U30" s="11" t="s">
        <v>61</v>
      </c>
      <c r="V30" s="11" t="s">
        <v>66</v>
      </c>
      <c r="W30" s="11" t="s">
        <v>67</v>
      </c>
      <c r="X30" s="11" t="s">
        <v>68</v>
      </c>
      <c r="Y30" s="13">
        <v>1</v>
      </c>
      <c r="Z30" s="11" t="s">
        <v>324</v>
      </c>
      <c r="AA30" s="11"/>
      <c r="AB30" s="11" t="s">
        <v>70</v>
      </c>
      <c r="AC30" s="11" t="s">
        <v>343</v>
      </c>
      <c r="AD30" s="11"/>
      <c r="AE30" s="11"/>
      <c r="AF30" s="11"/>
      <c r="AG30" s="11"/>
      <c r="AH30" s="11" t="s">
        <v>73</v>
      </c>
      <c r="AI30" s="11" t="s">
        <v>74</v>
      </c>
      <c r="AJ30" s="11" t="s">
        <v>345</v>
      </c>
      <c r="AK30" s="11" t="s">
        <v>346</v>
      </c>
      <c r="AL30" s="11" t="s">
        <v>77</v>
      </c>
      <c r="AM30" s="11" t="s">
        <v>78</v>
      </c>
      <c r="AN30" s="11" t="s">
        <v>79</v>
      </c>
      <c r="AO30" s="11" t="s">
        <v>79</v>
      </c>
      <c r="AP30" s="11" t="s">
        <v>80</v>
      </c>
      <c r="AQ30" s="11"/>
      <c r="AR30" s="11"/>
      <c r="AS30" s="11"/>
      <c r="AT30" s="11" t="s">
        <v>91</v>
      </c>
      <c r="AU30" s="11" t="s">
        <v>82</v>
      </c>
      <c r="AV30" s="11" t="s">
        <v>83</v>
      </c>
      <c r="AW30" s="9"/>
      <c r="AX30" s="9"/>
    </row>
    <row r="31" spans="1:50" ht="52.5" customHeight="1">
      <c r="A31" s="11" t="s">
        <v>52</v>
      </c>
      <c r="B31" s="11" t="s">
        <v>53</v>
      </c>
      <c r="C31" s="11" t="s">
        <v>318</v>
      </c>
      <c r="D31" s="11" t="s">
        <v>347</v>
      </c>
      <c r="E31" s="11" t="s">
        <v>348</v>
      </c>
      <c r="F31" s="13">
        <v>1</v>
      </c>
      <c r="G31" s="11" t="s">
        <v>57</v>
      </c>
      <c r="H31" s="11" t="s">
        <v>58</v>
      </c>
      <c r="I31" s="11" t="s">
        <v>349</v>
      </c>
      <c r="J31" s="11" t="s">
        <v>60</v>
      </c>
      <c r="K31" s="11" t="s">
        <v>61</v>
      </c>
      <c r="L31" s="11" t="s">
        <v>73</v>
      </c>
      <c r="M31" s="11" t="s">
        <v>63</v>
      </c>
      <c r="N31" s="11" t="s">
        <v>350</v>
      </c>
      <c r="O31" s="11" t="s">
        <v>348</v>
      </c>
      <c r="P31" s="11" t="s">
        <v>318</v>
      </c>
      <c r="Q31" s="11"/>
      <c r="R31" s="11"/>
      <c r="S31" s="11"/>
      <c r="T31" s="11"/>
      <c r="U31" s="11" t="s">
        <v>61</v>
      </c>
      <c r="V31" s="11" t="s">
        <v>323</v>
      </c>
      <c r="W31" s="11" t="s">
        <v>67</v>
      </c>
      <c r="X31" s="11" t="s">
        <v>68</v>
      </c>
      <c r="Y31" s="13">
        <v>1</v>
      </c>
      <c r="Z31" s="11" t="s">
        <v>324</v>
      </c>
      <c r="AA31" s="11"/>
      <c r="AB31" s="11" t="s">
        <v>70</v>
      </c>
      <c r="AC31" s="11" t="s">
        <v>351</v>
      </c>
      <c r="AD31" s="11"/>
      <c r="AE31" s="11"/>
      <c r="AF31" s="11"/>
      <c r="AG31" s="11"/>
      <c r="AH31" s="11" t="s">
        <v>73</v>
      </c>
      <c r="AI31" s="11" t="s">
        <v>74</v>
      </c>
      <c r="AJ31" s="11" t="s">
        <v>97</v>
      </c>
      <c r="AK31" s="11" t="s">
        <v>353</v>
      </c>
      <c r="AL31" s="11" t="s">
        <v>77</v>
      </c>
      <c r="AM31" s="11" t="s">
        <v>78</v>
      </c>
      <c r="AN31" s="11" t="s">
        <v>79</v>
      </c>
      <c r="AO31" s="11" t="s">
        <v>79</v>
      </c>
      <c r="AP31" s="11" t="s">
        <v>80</v>
      </c>
      <c r="AQ31" s="11"/>
      <c r="AR31" s="11"/>
      <c r="AS31" s="11"/>
      <c r="AT31" s="11" t="s">
        <v>91</v>
      </c>
      <c r="AU31" s="11" t="s">
        <v>82</v>
      </c>
      <c r="AV31" s="11" t="s">
        <v>83</v>
      </c>
      <c r="AW31" s="9"/>
      <c r="AX31" s="9"/>
    </row>
    <row r="32" spans="1:50" ht="52.5" customHeight="1">
      <c r="A32" s="11" t="s">
        <v>52</v>
      </c>
      <c r="B32" s="11" t="s">
        <v>53</v>
      </c>
      <c r="C32" s="11" t="s">
        <v>318</v>
      </c>
      <c r="D32" s="11" t="s">
        <v>356</v>
      </c>
      <c r="E32" s="11" t="s">
        <v>357</v>
      </c>
      <c r="F32" s="13">
        <v>1</v>
      </c>
      <c r="G32" s="11" t="s">
        <v>57</v>
      </c>
      <c r="H32" s="11" t="s">
        <v>58</v>
      </c>
      <c r="I32" s="11" t="s">
        <v>358</v>
      </c>
      <c r="J32" s="11" t="s">
        <v>60</v>
      </c>
      <c r="K32" s="11" t="s">
        <v>61</v>
      </c>
      <c r="L32" s="11" t="s">
        <v>73</v>
      </c>
      <c r="M32" s="11" t="s">
        <v>63</v>
      </c>
      <c r="N32" s="11" t="s">
        <v>360</v>
      </c>
      <c r="O32" s="11" t="s">
        <v>357</v>
      </c>
      <c r="P32" s="11" t="s">
        <v>318</v>
      </c>
      <c r="Q32" s="11"/>
      <c r="R32" s="11"/>
      <c r="S32" s="11"/>
      <c r="T32" s="11"/>
      <c r="U32" s="11" t="s">
        <v>61</v>
      </c>
      <c r="V32" s="11" t="s">
        <v>66</v>
      </c>
      <c r="W32" s="11" t="s">
        <v>67</v>
      </c>
      <c r="X32" s="11" t="s">
        <v>68</v>
      </c>
      <c r="Y32" s="13">
        <v>1</v>
      </c>
      <c r="Z32" s="11" t="s">
        <v>324</v>
      </c>
      <c r="AA32" s="11"/>
      <c r="AB32" s="11" t="s">
        <v>70</v>
      </c>
      <c r="AC32" s="11" t="s">
        <v>362</v>
      </c>
      <c r="AD32" s="11"/>
      <c r="AE32" s="11"/>
      <c r="AF32" s="11"/>
      <c r="AG32" s="11"/>
      <c r="AH32" s="11" t="s">
        <v>73</v>
      </c>
      <c r="AI32" s="11" t="s">
        <v>74</v>
      </c>
      <c r="AJ32" s="11" t="s">
        <v>363</v>
      </c>
      <c r="AK32" s="11" t="s">
        <v>364</v>
      </c>
      <c r="AL32" s="11" t="s">
        <v>77</v>
      </c>
      <c r="AM32" s="11" t="s">
        <v>78</v>
      </c>
      <c r="AN32" s="11" t="s">
        <v>79</v>
      </c>
      <c r="AO32" s="11" t="s">
        <v>79</v>
      </c>
      <c r="AP32" s="11" t="s">
        <v>80</v>
      </c>
      <c r="AQ32" s="11"/>
      <c r="AR32" s="11"/>
      <c r="AS32" s="11"/>
      <c r="AT32" s="11" t="s">
        <v>91</v>
      </c>
      <c r="AU32" s="11" t="s">
        <v>82</v>
      </c>
      <c r="AV32" s="11" t="s">
        <v>83</v>
      </c>
      <c r="AW32" s="9"/>
      <c r="AX32" s="9"/>
    </row>
    <row r="33" spans="1:50" ht="52.5" customHeight="1">
      <c r="A33" s="11" t="s">
        <v>52</v>
      </c>
      <c r="B33" s="11" t="s">
        <v>53</v>
      </c>
      <c r="C33" s="11" t="s">
        <v>318</v>
      </c>
      <c r="D33" s="11" t="s">
        <v>366</v>
      </c>
      <c r="E33" s="11" t="s">
        <v>367</v>
      </c>
      <c r="F33" s="13">
        <v>1</v>
      </c>
      <c r="G33" s="11" t="s">
        <v>57</v>
      </c>
      <c r="H33" s="11" t="s">
        <v>58</v>
      </c>
      <c r="I33" s="11" t="s">
        <v>368</v>
      </c>
      <c r="J33" s="11" t="s">
        <v>60</v>
      </c>
      <c r="K33" s="11" t="s">
        <v>61</v>
      </c>
      <c r="L33" s="11" t="s">
        <v>73</v>
      </c>
      <c r="M33" s="11" t="s">
        <v>63</v>
      </c>
      <c r="N33" s="11" t="s">
        <v>370</v>
      </c>
      <c r="O33" s="11" t="s">
        <v>367</v>
      </c>
      <c r="P33" s="11" t="s">
        <v>318</v>
      </c>
      <c r="Q33" s="11"/>
      <c r="R33" s="11"/>
      <c r="S33" s="11"/>
      <c r="T33" s="11"/>
      <c r="U33" s="11" t="s">
        <v>61</v>
      </c>
      <c r="V33" s="11" t="s">
        <v>66</v>
      </c>
      <c r="W33" s="11" t="s">
        <v>67</v>
      </c>
      <c r="X33" s="11" t="s">
        <v>68</v>
      </c>
      <c r="Y33" s="13">
        <v>1</v>
      </c>
      <c r="Z33" s="11" t="s">
        <v>324</v>
      </c>
      <c r="AA33" s="11"/>
      <c r="AB33" s="11" t="s">
        <v>70</v>
      </c>
      <c r="AC33" s="11" t="s">
        <v>372</v>
      </c>
      <c r="AD33" s="11"/>
      <c r="AE33" s="11"/>
      <c r="AF33" s="11"/>
      <c r="AG33" s="11"/>
      <c r="AH33" s="11" t="s">
        <v>62</v>
      </c>
      <c r="AI33" s="11" t="s">
        <v>74</v>
      </c>
      <c r="AJ33" s="11" t="s">
        <v>373</v>
      </c>
      <c r="AK33" s="11" t="s">
        <v>374</v>
      </c>
      <c r="AL33" s="11" t="s">
        <v>77</v>
      </c>
      <c r="AM33" s="11" t="s">
        <v>78</v>
      </c>
      <c r="AN33" s="11" t="s">
        <v>79</v>
      </c>
      <c r="AO33" s="11" t="s">
        <v>79</v>
      </c>
      <c r="AP33" s="11" t="s">
        <v>80</v>
      </c>
      <c r="AQ33" s="11"/>
      <c r="AR33" s="11"/>
      <c r="AS33" s="11"/>
      <c r="AT33" s="11" t="s">
        <v>91</v>
      </c>
      <c r="AU33" s="11" t="s">
        <v>82</v>
      </c>
      <c r="AV33" s="11" t="s">
        <v>83</v>
      </c>
      <c r="AW33" s="9"/>
      <c r="AX33" s="9"/>
    </row>
    <row r="34" spans="1:50" ht="52.5" customHeight="1">
      <c r="A34" s="11" t="s">
        <v>52</v>
      </c>
      <c r="B34" s="11" t="s">
        <v>53</v>
      </c>
      <c r="C34" s="11" t="s">
        <v>375</v>
      </c>
      <c r="D34" s="11" t="s">
        <v>376</v>
      </c>
      <c r="E34" s="11" t="s">
        <v>377</v>
      </c>
      <c r="F34" s="13">
        <v>1</v>
      </c>
      <c r="G34" s="11" t="s">
        <v>57</v>
      </c>
      <c r="H34" s="11" t="s">
        <v>58</v>
      </c>
      <c r="I34" s="11" t="s">
        <v>378</v>
      </c>
      <c r="J34" s="11" t="s">
        <v>60</v>
      </c>
      <c r="K34" s="11" t="s">
        <v>61</v>
      </c>
      <c r="L34" s="11" t="s">
        <v>73</v>
      </c>
      <c r="M34" s="11" t="s">
        <v>103</v>
      </c>
      <c r="N34" s="11"/>
      <c r="O34" s="11"/>
      <c r="P34" s="11"/>
      <c r="Q34" s="11" t="s">
        <v>380</v>
      </c>
      <c r="R34" s="11" t="s">
        <v>377</v>
      </c>
      <c r="S34" s="11" t="s">
        <v>375</v>
      </c>
      <c r="T34" s="11"/>
      <c r="U34" s="11" t="s">
        <v>61</v>
      </c>
      <c r="V34" s="11" t="s">
        <v>66</v>
      </c>
      <c r="W34" s="11" t="s">
        <v>67</v>
      </c>
      <c r="X34" s="11" t="s">
        <v>68</v>
      </c>
      <c r="Y34" s="13">
        <v>1</v>
      </c>
      <c r="Z34" s="11" t="s">
        <v>324</v>
      </c>
      <c r="AA34" s="11"/>
      <c r="AB34" s="11" t="s">
        <v>70</v>
      </c>
      <c r="AC34" s="11" t="s">
        <v>381</v>
      </c>
      <c r="AD34" s="11"/>
      <c r="AE34" s="11"/>
      <c r="AF34" s="11"/>
      <c r="AG34" s="11"/>
      <c r="AH34" s="11" t="s">
        <v>73</v>
      </c>
      <c r="AI34" s="11" t="s">
        <v>74</v>
      </c>
      <c r="AJ34" s="11" t="s">
        <v>97</v>
      </c>
      <c r="AK34" s="11" t="s">
        <v>383</v>
      </c>
      <c r="AL34" s="11" t="s">
        <v>77</v>
      </c>
      <c r="AM34" s="11" t="s">
        <v>78</v>
      </c>
      <c r="AN34" s="11" t="s">
        <v>79</v>
      </c>
      <c r="AO34" s="11" t="s">
        <v>79</v>
      </c>
      <c r="AP34" s="11" t="s">
        <v>80</v>
      </c>
      <c r="AQ34" s="11"/>
      <c r="AR34" s="11"/>
      <c r="AS34" s="11"/>
      <c r="AT34" s="11" t="s">
        <v>91</v>
      </c>
      <c r="AU34" s="11" t="s">
        <v>82</v>
      </c>
      <c r="AV34" s="11" t="s">
        <v>83</v>
      </c>
      <c r="AW34" s="9"/>
      <c r="AX34" s="9"/>
    </row>
    <row r="35" spans="1:50" ht="52.5" customHeight="1">
      <c r="A35" s="11" t="s">
        <v>52</v>
      </c>
      <c r="B35" s="11" t="s">
        <v>53</v>
      </c>
      <c r="C35" s="11" t="s">
        <v>375</v>
      </c>
      <c r="D35" s="11" t="s">
        <v>387</v>
      </c>
      <c r="E35" s="11" t="s">
        <v>388</v>
      </c>
      <c r="F35" s="13">
        <v>1</v>
      </c>
      <c r="G35" s="11" t="s">
        <v>57</v>
      </c>
      <c r="H35" s="11" t="s">
        <v>58</v>
      </c>
      <c r="I35" s="11" t="s">
        <v>389</v>
      </c>
      <c r="J35" s="11" t="s">
        <v>60</v>
      </c>
      <c r="K35" s="11" t="s">
        <v>61</v>
      </c>
      <c r="L35" s="11" t="s">
        <v>73</v>
      </c>
      <c r="M35" s="11" t="s">
        <v>103</v>
      </c>
      <c r="N35" s="11"/>
      <c r="O35" s="11"/>
      <c r="P35" s="11"/>
      <c r="Q35" s="11" t="s">
        <v>390</v>
      </c>
      <c r="R35" s="11" t="s">
        <v>388</v>
      </c>
      <c r="S35" s="11" t="s">
        <v>375</v>
      </c>
      <c r="T35" s="11"/>
      <c r="U35" s="11" t="s">
        <v>61</v>
      </c>
      <c r="V35" s="11" t="s">
        <v>66</v>
      </c>
      <c r="W35" s="11" t="s">
        <v>67</v>
      </c>
      <c r="X35" s="11" t="s">
        <v>68</v>
      </c>
      <c r="Y35" s="13">
        <v>1</v>
      </c>
      <c r="Z35" s="11" t="s">
        <v>324</v>
      </c>
      <c r="AA35" s="11"/>
      <c r="AB35" s="11" t="s">
        <v>70</v>
      </c>
      <c r="AC35" s="11" t="s">
        <v>393</v>
      </c>
      <c r="AD35" s="11"/>
      <c r="AE35" s="11"/>
      <c r="AF35" s="11"/>
      <c r="AG35" s="11"/>
      <c r="AH35" s="11" t="s">
        <v>73</v>
      </c>
      <c r="AI35" s="11" t="s">
        <v>74</v>
      </c>
      <c r="AJ35" s="11" t="s">
        <v>394</v>
      </c>
      <c r="AK35" s="11" t="s">
        <v>395</v>
      </c>
      <c r="AL35" s="11" t="s">
        <v>77</v>
      </c>
      <c r="AM35" s="11" t="s">
        <v>78</v>
      </c>
      <c r="AN35" s="11" t="s">
        <v>79</v>
      </c>
      <c r="AO35" s="11" t="s">
        <v>79</v>
      </c>
      <c r="AP35" s="11" t="s">
        <v>80</v>
      </c>
      <c r="AQ35" s="11"/>
      <c r="AR35" s="11"/>
      <c r="AS35" s="11"/>
      <c r="AT35" s="11" t="s">
        <v>91</v>
      </c>
      <c r="AU35" s="11" t="s">
        <v>82</v>
      </c>
      <c r="AV35" s="11" t="s">
        <v>83</v>
      </c>
      <c r="AW35" s="9"/>
      <c r="AX35" s="9"/>
    </row>
    <row r="36" spans="1:50" ht="52.5" customHeight="1">
      <c r="A36" s="11" t="s">
        <v>52</v>
      </c>
      <c r="B36" s="11" t="s">
        <v>53</v>
      </c>
      <c r="C36" s="11" t="s">
        <v>375</v>
      </c>
      <c r="D36" s="11" t="s">
        <v>396</v>
      </c>
      <c r="E36" s="11" t="s">
        <v>397</v>
      </c>
      <c r="F36" s="13">
        <v>1</v>
      </c>
      <c r="G36" s="11" t="s">
        <v>57</v>
      </c>
      <c r="H36" s="11" t="s">
        <v>58</v>
      </c>
      <c r="I36" s="11" t="s">
        <v>398</v>
      </c>
      <c r="J36" s="11" t="s">
        <v>60</v>
      </c>
      <c r="K36" s="11" t="s">
        <v>61</v>
      </c>
      <c r="L36" s="11" t="s">
        <v>73</v>
      </c>
      <c r="M36" s="11" t="s">
        <v>103</v>
      </c>
      <c r="N36" s="11"/>
      <c r="O36" s="11"/>
      <c r="P36" s="11"/>
      <c r="Q36" s="11" t="s">
        <v>400</v>
      </c>
      <c r="R36" s="11" t="s">
        <v>397</v>
      </c>
      <c r="S36" s="11" t="s">
        <v>375</v>
      </c>
      <c r="T36" s="11"/>
      <c r="U36" s="11" t="s">
        <v>61</v>
      </c>
      <c r="V36" s="11" t="s">
        <v>66</v>
      </c>
      <c r="W36" s="11" t="s">
        <v>67</v>
      </c>
      <c r="X36" s="11" t="s">
        <v>68</v>
      </c>
      <c r="Y36" s="13">
        <v>1</v>
      </c>
      <c r="Z36" s="11" t="s">
        <v>324</v>
      </c>
      <c r="AA36" s="11"/>
      <c r="AB36" s="11" t="s">
        <v>70</v>
      </c>
      <c r="AC36" s="11" t="s">
        <v>401</v>
      </c>
      <c r="AD36" s="11"/>
      <c r="AE36" s="11"/>
      <c r="AF36" s="11"/>
      <c r="AG36" s="11"/>
      <c r="AH36" s="11" t="s">
        <v>73</v>
      </c>
      <c r="AI36" s="11" t="s">
        <v>74</v>
      </c>
      <c r="AJ36" s="11" t="s">
        <v>97</v>
      </c>
      <c r="AK36" s="11" t="s">
        <v>402</v>
      </c>
      <c r="AL36" s="11" t="s">
        <v>77</v>
      </c>
      <c r="AM36" s="11" t="s">
        <v>78</v>
      </c>
      <c r="AN36" s="11" t="s">
        <v>79</v>
      </c>
      <c r="AO36" s="11" t="s">
        <v>79</v>
      </c>
      <c r="AP36" s="11" t="s">
        <v>80</v>
      </c>
      <c r="AQ36" s="11"/>
      <c r="AR36" s="11"/>
      <c r="AS36" s="11"/>
      <c r="AT36" s="11" t="s">
        <v>91</v>
      </c>
      <c r="AU36" s="11" t="s">
        <v>82</v>
      </c>
      <c r="AV36" s="11" t="s">
        <v>83</v>
      </c>
      <c r="AW36" s="9"/>
      <c r="AX36" s="9"/>
    </row>
    <row r="37" spans="1:50" ht="52.5" customHeight="1">
      <c r="A37" s="11" t="s">
        <v>52</v>
      </c>
      <c r="B37" s="11" t="s">
        <v>53</v>
      </c>
      <c r="C37" s="11" t="s">
        <v>375</v>
      </c>
      <c r="D37" s="11" t="s">
        <v>404</v>
      </c>
      <c r="E37" s="11" t="s">
        <v>405</v>
      </c>
      <c r="F37" s="13">
        <v>1</v>
      </c>
      <c r="G37" s="11" t="s">
        <v>57</v>
      </c>
      <c r="H37" s="11" t="s">
        <v>58</v>
      </c>
      <c r="I37" s="11" t="s">
        <v>406</v>
      </c>
      <c r="J37" s="11" t="s">
        <v>60</v>
      </c>
      <c r="K37" s="11" t="s">
        <v>61</v>
      </c>
      <c r="L37" s="11" t="s">
        <v>73</v>
      </c>
      <c r="M37" s="11" t="s">
        <v>63</v>
      </c>
      <c r="N37" s="11" t="s">
        <v>407</v>
      </c>
      <c r="O37" s="11" t="s">
        <v>405</v>
      </c>
      <c r="P37" s="11" t="s">
        <v>375</v>
      </c>
      <c r="Q37" s="11"/>
      <c r="R37" s="11"/>
      <c r="S37" s="11"/>
      <c r="T37" s="11"/>
      <c r="U37" s="11" t="s">
        <v>61</v>
      </c>
      <c r="V37" s="11" t="s">
        <v>66</v>
      </c>
      <c r="W37" s="11" t="s">
        <v>67</v>
      </c>
      <c r="X37" s="11" t="s">
        <v>68</v>
      </c>
      <c r="Y37" s="13">
        <v>1</v>
      </c>
      <c r="Z37" s="11" t="s">
        <v>324</v>
      </c>
      <c r="AA37" s="11"/>
      <c r="AB37" s="11" t="s">
        <v>70</v>
      </c>
      <c r="AC37" s="11" t="s">
        <v>410</v>
      </c>
      <c r="AD37" s="11"/>
      <c r="AE37" s="11"/>
      <c r="AF37" s="11"/>
      <c r="AG37" s="11"/>
      <c r="AH37" s="11" t="s">
        <v>73</v>
      </c>
      <c r="AI37" s="11" t="s">
        <v>74</v>
      </c>
      <c r="AJ37" s="11" t="s">
        <v>394</v>
      </c>
      <c r="AK37" s="11" t="s">
        <v>411</v>
      </c>
      <c r="AL37" s="11" t="s">
        <v>77</v>
      </c>
      <c r="AM37" s="11" t="s">
        <v>78</v>
      </c>
      <c r="AN37" s="11" t="s">
        <v>79</v>
      </c>
      <c r="AO37" s="11" t="s">
        <v>79</v>
      </c>
      <c r="AP37" s="11" t="s">
        <v>80</v>
      </c>
      <c r="AQ37" s="11"/>
      <c r="AR37" s="11"/>
      <c r="AS37" s="11"/>
      <c r="AT37" s="11" t="s">
        <v>91</v>
      </c>
      <c r="AU37" s="11" t="s">
        <v>82</v>
      </c>
      <c r="AV37" s="11" t="s">
        <v>83</v>
      </c>
      <c r="AW37" s="9"/>
      <c r="AX37" s="9"/>
    </row>
    <row r="38" spans="1:50" ht="52.5" customHeight="1">
      <c r="A38" s="11" t="s">
        <v>52</v>
      </c>
      <c r="B38" s="11" t="s">
        <v>53</v>
      </c>
      <c r="C38" s="11" t="s">
        <v>375</v>
      </c>
      <c r="D38" s="11" t="s">
        <v>412</v>
      </c>
      <c r="E38" s="11" t="s">
        <v>413</v>
      </c>
      <c r="F38" s="13">
        <v>1</v>
      </c>
      <c r="G38" s="11" t="s">
        <v>57</v>
      </c>
      <c r="H38" s="11" t="s">
        <v>58</v>
      </c>
      <c r="I38" s="11" t="s">
        <v>414</v>
      </c>
      <c r="J38" s="11" t="s">
        <v>60</v>
      </c>
      <c r="K38" s="11" t="s">
        <v>61</v>
      </c>
      <c r="L38" s="11" t="s">
        <v>73</v>
      </c>
      <c r="M38" s="11" t="s">
        <v>63</v>
      </c>
      <c r="N38" s="11" t="s">
        <v>416</v>
      </c>
      <c r="O38" s="11" t="s">
        <v>413</v>
      </c>
      <c r="P38" s="11" t="s">
        <v>375</v>
      </c>
      <c r="Q38" s="11"/>
      <c r="R38" s="11"/>
      <c r="S38" s="11"/>
      <c r="T38" s="11"/>
      <c r="U38" s="11" t="s">
        <v>61</v>
      </c>
      <c r="V38" s="11" t="s">
        <v>66</v>
      </c>
      <c r="W38" s="11" t="s">
        <v>67</v>
      </c>
      <c r="X38" s="11" t="s">
        <v>68</v>
      </c>
      <c r="Y38" s="13">
        <v>1</v>
      </c>
      <c r="Z38" s="11" t="s">
        <v>324</v>
      </c>
      <c r="AA38" s="11"/>
      <c r="AB38" s="11" t="s">
        <v>70</v>
      </c>
      <c r="AC38" s="11" t="s">
        <v>418</v>
      </c>
      <c r="AD38" s="11"/>
      <c r="AE38" s="11"/>
      <c r="AF38" s="11"/>
      <c r="AG38" s="11"/>
      <c r="AH38" s="11" t="s">
        <v>73</v>
      </c>
      <c r="AI38" s="11" t="s">
        <v>74</v>
      </c>
      <c r="AJ38" s="11" t="s">
        <v>419</v>
      </c>
      <c r="AK38" s="11" t="s">
        <v>420</v>
      </c>
      <c r="AL38" s="11" t="s">
        <v>77</v>
      </c>
      <c r="AM38" s="11" t="s">
        <v>78</v>
      </c>
      <c r="AN38" s="11" t="s">
        <v>79</v>
      </c>
      <c r="AO38" s="11" t="s">
        <v>79</v>
      </c>
      <c r="AP38" s="11" t="s">
        <v>80</v>
      </c>
      <c r="AQ38" s="11"/>
      <c r="AR38" s="11"/>
      <c r="AS38" s="11"/>
      <c r="AT38" s="11" t="s">
        <v>91</v>
      </c>
      <c r="AU38" s="11" t="s">
        <v>82</v>
      </c>
      <c r="AV38" s="11" t="s">
        <v>83</v>
      </c>
      <c r="AW38" s="9"/>
      <c r="AX38" s="9"/>
    </row>
    <row r="39" spans="1:50" ht="52.5" customHeight="1">
      <c r="A39" s="11" t="s">
        <v>52</v>
      </c>
      <c r="B39" s="11" t="s">
        <v>53</v>
      </c>
      <c r="C39" s="11" t="s">
        <v>375</v>
      </c>
      <c r="D39" s="11" t="s">
        <v>422</v>
      </c>
      <c r="E39" s="11" t="s">
        <v>423</v>
      </c>
      <c r="F39" s="13">
        <v>1</v>
      </c>
      <c r="G39" s="11" t="s">
        <v>57</v>
      </c>
      <c r="H39" s="11" t="s">
        <v>58</v>
      </c>
      <c r="I39" s="11" t="s">
        <v>424</v>
      </c>
      <c r="J39" s="11" t="s">
        <v>60</v>
      </c>
      <c r="K39" s="11" t="s">
        <v>61</v>
      </c>
      <c r="L39" s="11" t="s">
        <v>73</v>
      </c>
      <c r="M39" s="11" t="s">
        <v>63</v>
      </c>
      <c r="N39" s="11" t="s">
        <v>425</v>
      </c>
      <c r="O39" s="11" t="s">
        <v>423</v>
      </c>
      <c r="P39" s="11" t="s">
        <v>375</v>
      </c>
      <c r="Q39" s="11"/>
      <c r="R39" s="11"/>
      <c r="S39" s="11"/>
      <c r="T39" s="11"/>
      <c r="U39" s="11" t="s">
        <v>61</v>
      </c>
      <c r="V39" s="11" t="s">
        <v>323</v>
      </c>
      <c r="W39" s="11" t="s">
        <v>67</v>
      </c>
      <c r="X39" s="11" t="s">
        <v>68</v>
      </c>
      <c r="Y39" s="13">
        <v>1</v>
      </c>
      <c r="Z39" s="11" t="s">
        <v>324</v>
      </c>
      <c r="AA39" s="11"/>
      <c r="AB39" s="11" t="s">
        <v>70</v>
      </c>
      <c r="AC39" s="11" t="s">
        <v>428</v>
      </c>
      <c r="AD39" s="11"/>
      <c r="AE39" s="11"/>
      <c r="AF39" s="11"/>
      <c r="AG39" s="11"/>
      <c r="AH39" s="11" t="s">
        <v>73</v>
      </c>
      <c r="AI39" s="11" t="s">
        <v>74</v>
      </c>
      <c r="AJ39" s="11" t="s">
        <v>97</v>
      </c>
      <c r="AK39" s="11" t="s">
        <v>429</v>
      </c>
      <c r="AL39" s="11" t="s">
        <v>77</v>
      </c>
      <c r="AM39" s="11" t="s">
        <v>78</v>
      </c>
      <c r="AN39" s="11" t="s">
        <v>79</v>
      </c>
      <c r="AO39" s="11" t="s">
        <v>79</v>
      </c>
      <c r="AP39" s="11" t="s">
        <v>80</v>
      </c>
      <c r="AQ39" s="11"/>
      <c r="AR39" s="11"/>
      <c r="AS39" s="11"/>
      <c r="AT39" s="11" t="s">
        <v>91</v>
      </c>
      <c r="AU39" s="11" t="s">
        <v>82</v>
      </c>
      <c r="AV39" s="11" t="s">
        <v>83</v>
      </c>
      <c r="AW39" s="9"/>
      <c r="AX39" s="9"/>
    </row>
    <row r="40" spans="1:50" ht="52.5" customHeight="1">
      <c r="A40" s="11" t="s">
        <v>52</v>
      </c>
      <c r="B40" s="11" t="s">
        <v>53</v>
      </c>
      <c r="C40" s="11" t="s">
        <v>430</v>
      </c>
      <c r="D40" s="11" t="s">
        <v>431</v>
      </c>
      <c r="E40" s="11" t="s">
        <v>433</v>
      </c>
      <c r="F40" s="13">
        <v>1</v>
      </c>
      <c r="G40" s="11" t="s">
        <v>57</v>
      </c>
      <c r="H40" s="11" t="s">
        <v>58</v>
      </c>
      <c r="I40" s="11" t="s">
        <v>435</v>
      </c>
      <c r="J40" s="11" t="s">
        <v>60</v>
      </c>
      <c r="K40" s="11" t="s">
        <v>61</v>
      </c>
      <c r="L40" s="11" t="s">
        <v>73</v>
      </c>
      <c r="M40" s="11" t="s">
        <v>63</v>
      </c>
      <c r="N40" s="11" t="s">
        <v>436</v>
      </c>
      <c r="O40" s="11" t="s">
        <v>433</v>
      </c>
      <c r="P40" s="11" t="s">
        <v>430</v>
      </c>
      <c r="Q40" s="11"/>
      <c r="R40" s="11"/>
      <c r="S40" s="11"/>
      <c r="T40" s="11"/>
      <c r="U40" s="11" t="s">
        <v>61</v>
      </c>
      <c r="V40" s="11" t="s">
        <v>323</v>
      </c>
      <c r="W40" s="11" t="s">
        <v>67</v>
      </c>
      <c r="X40" s="11" t="s">
        <v>68</v>
      </c>
      <c r="Y40" s="13">
        <v>1</v>
      </c>
      <c r="Z40" s="11" t="s">
        <v>324</v>
      </c>
      <c r="AA40" s="11"/>
      <c r="AB40" s="11" t="s">
        <v>70</v>
      </c>
      <c r="AC40" s="11" t="s">
        <v>437</v>
      </c>
      <c r="AD40" s="11"/>
      <c r="AE40" s="11"/>
      <c r="AF40" s="11"/>
      <c r="AG40" s="11"/>
      <c r="AH40" s="11" t="s">
        <v>73</v>
      </c>
      <c r="AI40" s="11" t="s">
        <v>74</v>
      </c>
      <c r="AJ40" s="11" t="s">
        <v>440</v>
      </c>
      <c r="AK40" s="11" t="s">
        <v>441</v>
      </c>
      <c r="AL40" s="11" t="s">
        <v>77</v>
      </c>
      <c r="AM40" s="11" t="s">
        <v>78</v>
      </c>
      <c r="AN40" s="11" t="s">
        <v>79</v>
      </c>
      <c r="AO40" s="11" t="s">
        <v>79</v>
      </c>
      <c r="AP40" s="11" t="s">
        <v>80</v>
      </c>
      <c r="AQ40" s="11"/>
      <c r="AR40" s="11"/>
      <c r="AS40" s="11"/>
      <c r="AT40" s="11" t="s">
        <v>91</v>
      </c>
      <c r="AU40" s="11" t="s">
        <v>82</v>
      </c>
      <c r="AV40" s="11" t="s">
        <v>83</v>
      </c>
      <c r="AW40" s="9"/>
      <c r="AX40" s="9"/>
    </row>
    <row r="41" spans="1:50" ht="52.5" customHeight="1">
      <c r="A41" s="11" t="s">
        <v>52</v>
      </c>
      <c r="B41" s="11" t="s">
        <v>53</v>
      </c>
      <c r="C41" s="11" t="s">
        <v>430</v>
      </c>
      <c r="D41" s="11" t="s">
        <v>444</v>
      </c>
      <c r="E41" s="11" t="s">
        <v>445</v>
      </c>
      <c r="F41" s="13">
        <v>1</v>
      </c>
      <c r="G41" s="11" t="s">
        <v>57</v>
      </c>
      <c r="H41" s="11" t="s">
        <v>58</v>
      </c>
      <c r="I41" s="11" t="s">
        <v>447</v>
      </c>
      <c r="J41" s="11" t="s">
        <v>60</v>
      </c>
      <c r="K41" s="11" t="s">
        <v>61</v>
      </c>
      <c r="L41" s="11" t="s">
        <v>73</v>
      </c>
      <c r="M41" s="11" t="s">
        <v>63</v>
      </c>
      <c r="N41" s="11" t="s">
        <v>448</v>
      </c>
      <c r="O41" s="11" t="s">
        <v>445</v>
      </c>
      <c r="P41" s="11" t="s">
        <v>430</v>
      </c>
      <c r="Q41" s="11"/>
      <c r="R41" s="11"/>
      <c r="S41" s="11"/>
      <c r="T41" s="11"/>
      <c r="U41" s="11" t="s">
        <v>61</v>
      </c>
      <c r="V41" s="11" t="s">
        <v>66</v>
      </c>
      <c r="W41" s="11" t="s">
        <v>67</v>
      </c>
      <c r="X41" s="11" t="s">
        <v>68</v>
      </c>
      <c r="Y41" s="13">
        <v>1</v>
      </c>
      <c r="Z41" s="11" t="s">
        <v>324</v>
      </c>
      <c r="AA41" s="11"/>
      <c r="AB41" s="11" t="s">
        <v>70</v>
      </c>
      <c r="AC41" s="11" t="s">
        <v>449</v>
      </c>
      <c r="AD41" s="11"/>
      <c r="AE41" s="11"/>
      <c r="AF41" s="11"/>
      <c r="AG41" s="11"/>
      <c r="AH41" s="11" t="s">
        <v>73</v>
      </c>
      <c r="AI41" s="11" t="s">
        <v>74</v>
      </c>
      <c r="AJ41" s="11" t="s">
        <v>97</v>
      </c>
      <c r="AK41" s="11" t="s">
        <v>450</v>
      </c>
      <c r="AL41" s="11" t="s">
        <v>77</v>
      </c>
      <c r="AM41" s="11" t="s">
        <v>78</v>
      </c>
      <c r="AN41" s="11" t="s">
        <v>79</v>
      </c>
      <c r="AO41" s="11" t="s">
        <v>79</v>
      </c>
      <c r="AP41" s="11" t="s">
        <v>80</v>
      </c>
      <c r="AQ41" s="11"/>
      <c r="AR41" s="11"/>
      <c r="AS41" s="11"/>
      <c r="AT41" s="11" t="s">
        <v>91</v>
      </c>
      <c r="AU41" s="11" t="s">
        <v>82</v>
      </c>
      <c r="AV41" s="11" t="s">
        <v>83</v>
      </c>
      <c r="AW41" s="9"/>
      <c r="AX41" s="9"/>
    </row>
    <row r="42" spans="1:50" ht="52.5" customHeight="1">
      <c r="A42" s="11" t="s">
        <v>52</v>
      </c>
      <c r="B42" s="11" t="s">
        <v>53</v>
      </c>
      <c r="C42" s="11" t="s">
        <v>430</v>
      </c>
      <c r="D42" s="11" t="s">
        <v>454</v>
      </c>
      <c r="E42" s="11" t="s">
        <v>455</v>
      </c>
      <c r="F42" s="13">
        <v>1</v>
      </c>
      <c r="G42" s="11" t="s">
        <v>57</v>
      </c>
      <c r="H42" s="11" t="s">
        <v>58</v>
      </c>
      <c r="I42" s="11" t="s">
        <v>456</v>
      </c>
      <c r="J42" s="11" t="s">
        <v>60</v>
      </c>
      <c r="K42" s="11" t="s">
        <v>61</v>
      </c>
      <c r="L42" s="11" t="s">
        <v>73</v>
      </c>
      <c r="M42" s="11" t="s">
        <v>63</v>
      </c>
      <c r="N42" s="11" t="s">
        <v>457</v>
      </c>
      <c r="O42" s="11" t="s">
        <v>455</v>
      </c>
      <c r="P42" s="11" t="s">
        <v>430</v>
      </c>
      <c r="Q42" s="11"/>
      <c r="R42" s="11"/>
      <c r="S42" s="11"/>
      <c r="T42" s="11"/>
      <c r="U42" s="11" t="s">
        <v>61</v>
      </c>
      <c r="V42" s="11" t="s">
        <v>323</v>
      </c>
      <c r="W42" s="11" t="s">
        <v>67</v>
      </c>
      <c r="X42" s="11" t="s">
        <v>68</v>
      </c>
      <c r="Y42" s="13">
        <v>1</v>
      </c>
      <c r="Z42" s="11" t="s">
        <v>324</v>
      </c>
      <c r="AA42" s="11"/>
      <c r="AB42" s="11" t="s">
        <v>70</v>
      </c>
      <c r="AC42" s="11" t="s">
        <v>458</v>
      </c>
      <c r="AD42" s="11"/>
      <c r="AE42" s="11"/>
      <c r="AF42" s="11"/>
      <c r="AG42" s="11"/>
      <c r="AH42" s="11" t="s">
        <v>73</v>
      </c>
      <c r="AI42" s="11" t="s">
        <v>74</v>
      </c>
      <c r="AJ42" s="11" t="s">
        <v>97</v>
      </c>
      <c r="AK42" s="11" t="s">
        <v>459</v>
      </c>
      <c r="AL42" s="11" t="s">
        <v>77</v>
      </c>
      <c r="AM42" s="11" t="s">
        <v>78</v>
      </c>
      <c r="AN42" s="11" t="s">
        <v>79</v>
      </c>
      <c r="AO42" s="11" t="s">
        <v>79</v>
      </c>
      <c r="AP42" s="11" t="s">
        <v>80</v>
      </c>
      <c r="AQ42" s="11"/>
      <c r="AR42" s="11"/>
      <c r="AS42" s="11"/>
      <c r="AT42" s="11" t="s">
        <v>91</v>
      </c>
      <c r="AU42" s="11" t="s">
        <v>82</v>
      </c>
      <c r="AV42" s="11" t="s">
        <v>83</v>
      </c>
      <c r="AW42" s="9"/>
      <c r="AX42" s="9"/>
    </row>
    <row r="43" spans="1:50" ht="21.75" customHeight="1">
      <c r="A43" s="11" t="s">
        <v>52</v>
      </c>
      <c r="B43" s="11" t="s">
        <v>53</v>
      </c>
      <c r="C43" s="11" t="s">
        <v>430</v>
      </c>
      <c r="D43" s="11" t="s">
        <v>461</v>
      </c>
      <c r="E43" s="11" t="s">
        <v>462</v>
      </c>
      <c r="F43" s="13">
        <v>1</v>
      </c>
      <c r="G43" s="11" t="s">
        <v>57</v>
      </c>
      <c r="H43" s="11" t="s">
        <v>58</v>
      </c>
      <c r="I43" s="11" t="s">
        <v>463</v>
      </c>
      <c r="J43" s="11" t="s">
        <v>60</v>
      </c>
      <c r="K43" s="11" t="s">
        <v>61</v>
      </c>
      <c r="L43" s="11" t="s">
        <v>73</v>
      </c>
      <c r="M43" s="11" t="s">
        <v>63</v>
      </c>
      <c r="N43" s="11" t="s">
        <v>465</v>
      </c>
      <c r="O43" s="11" t="s">
        <v>462</v>
      </c>
      <c r="P43" s="11" t="s">
        <v>430</v>
      </c>
      <c r="Q43" s="11"/>
      <c r="R43" s="11"/>
      <c r="S43" s="11"/>
      <c r="T43" s="11"/>
      <c r="U43" s="11" t="s">
        <v>61</v>
      </c>
      <c r="V43" s="11" t="s">
        <v>323</v>
      </c>
      <c r="W43" s="11" t="s">
        <v>67</v>
      </c>
      <c r="X43" s="11" t="s">
        <v>68</v>
      </c>
      <c r="Y43" s="13">
        <v>1</v>
      </c>
      <c r="Z43" s="11" t="s">
        <v>324</v>
      </c>
      <c r="AA43" s="11"/>
      <c r="AB43" s="11" t="s">
        <v>70</v>
      </c>
      <c r="AC43" s="11" t="s">
        <v>466</v>
      </c>
      <c r="AD43" s="11"/>
      <c r="AE43" s="11"/>
      <c r="AF43" s="11"/>
      <c r="AG43" s="11"/>
      <c r="AH43" s="11" t="s">
        <v>73</v>
      </c>
      <c r="AI43" s="11" t="s">
        <v>74</v>
      </c>
      <c r="AJ43" s="11" t="s">
        <v>468</v>
      </c>
      <c r="AK43" s="11" t="s">
        <v>469</v>
      </c>
      <c r="AL43" s="11" t="s">
        <v>77</v>
      </c>
      <c r="AM43" s="11" t="s">
        <v>78</v>
      </c>
      <c r="AN43" s="11" t="s">
        <v>79</v>
      </c>
      <c r="AO43" s="11" t="s">
        <v>79</v>
      </c>
      <c r="AP43" s="11" t="s">
        <v>80</v>
      </c>
      <c r="AQ43" s="11"/>
      <c r="AR43" s="11"/>
      <c r="AS43" s="11"/>
      <c r="AT43" s="11" t="s">
        <v>91</v>
      </c>
      <c r="AU43" s="11" t="s">
        <v>82</v>
      </c>
      <c r="AV43" s="11" t="s">
        <v>83</v>
      </c>
      <c r="AW43" s="9"/>
      <c r="AX43" s="9"/>
    </row>
    <row r="44" spans="1:50" ht="52.5" customHeight="1">
      <c r="A44" s="11" t="s">
        <v>52</v>
      </c>
      <c r="B44" s="11" t="s">
        <v>53</v>
      </c>
      <c r="C44" s="11" t="s">
        <v>430</v>
      </c>
      <c r="D44" s="11" t="s">
        <v>470</v>
      </c>
      <c r="E44" s="11" t="s">
        <v>471</v>
      </c>
      <c r="F44" s="13">
        <v>1</v>
      </c>
      <c r="G44" s="11" t="s">
        <v>57</v>
      </c>
      <c r="H44" s="11" t="s">
        <v>58</v>
      </c>
      <c r="I44" s="11" t="s">
        <v>472</v>
      </c>
      <c r="J44" s="11" t="s">
        <v>60</v>
      </c>
      <c r="K44" s="11" t="s">
        <v>61</v>
      </c>
      <c r="L44" s="11" t="s">
        <v>62</v>
      </c>
      <c r="M44" s="11" t="s">
        <v>63</v>
      </c>
      <c r="N44" s="11" t="s">
        <v>473</v>
      </c>
      <c r="O44" s="11" t="s">
        <v>471</v>
      </c>
      <c r="P44" s="11" t="s">
        <v>430</v>
      </c>
      <c r="Q44" s="11"/>
      <c r="R44" s="11"/>
      <c r="S44" s="11"/>
      <c r="T44" s="11"/>
      <c r="U44" s="11" t="s">
        <v>61</v>
      </c>
      <c r="V44" s="11" t="s">
        <v>66</v>
      </c>
      <c r="W44" s="11" t="s">
        <v>67</v>
      </c>
      <c r="X44" s="11" t="s">
        <v>68</v>
      </c>
      <c r="Y44" s="13">
        <v>1</v>
      </c>
      <c r="Z44" s="11" t="s">
        <v>69</v>
      </c>
      <c r="AA44" s="11"/>
      <c r="AB44" s="11" t="s">
        <v>70</v>
      </c>
      <c r="AC44" s="11" t="s">
        <v>474</v>
      </c>
      <c r="AD44" s="11"/>
      <c r="AE44" s="11"/>
      <c r="AF44" s="11"/>
      <c r="AG44" s="11"/>
      <c r="AH44" s="11" t="s">
        <v>73</v>
      </c>
      <c r="AI44" s="11" t="s">
        <v>74</v>
      </c>
      <c r="AJ44" s="11" t="s">
        <v>97</v>
      </c>
      <c r="AK44" s="11" t="s">
        <v>475</v>
      </c>
      <c r="AL44" s="11" t="s">
        <v>77</v>
      </c>
      <c r="AM44" s="11" t="s">
        <v>78</v>
      </c>
      <c r="AN44" s="11" t="s">
        <v>79</v>
      </c>
      <c r="AO44" s="11" t="s">
        <v>79</v>
      </c>
      <c r="AP44" s="11" t="s">
        <v>80</v>
      </c>
      <c r="AQ44" s="11"/>
      <c r="AR44" s="11"/>
      <c r="AS44" s="11"/>
      <c r="AT44" s="11" t="s">
        <v>91</v>
      </c>
      <c r="AU44" s="11" t="s">
        <v>82</v>
      </c>
      <c r="AV44" s="11" t="s">
        <v>83</v>
      </c>
      <c r="AW44" s="9"/>
      <c r="AX44" s="9"/>
    </row>
    <row r="45" spans="1:50" ht="52.5" customHeight="1">
      <c r="A45" s="11" t="s">
        <v>52</v>
      </c>
      <c r="B45" s="11" t="s">
        <v>53</v>
      </c>
      <c r="C45" s="11" t="s">
        <v>476</v>
      </c>
      <c r="D45" s="11" t="s">
        <v>477</v>
      </c>
      <c r="E45" s="11" t="s">
        <v>478</v>
      </c>
      <c r="F45" s="13">
        <v>1</v>
      </c>
      <c r="G45" s="11" t="s">
        <v>57</v>
      </c>
      <c r="H45" s="11" t="s">
        <v>58</v>
      </c>
      <c r="I45" s="11" t="s">
        <v>479</v>
      </c>
      <c r="J45" s="11" t="s">
        <v>60</v>
      </c>
      <c r="K45" s="11" t="s">
        <v>61</v>
      </c>
      <c r="L45" s="11" t="s">
        <v>73</v>
      </c>
      <c r="M45" s="11" t="s">
        <v>63</v>
      </c>
      <c r="N45" s="11" t="s">
        <v>480</v>
      </c>
      <c r="O45" s="11" t="s">
        <v>478</v>
      </c>
      <c r="P45" s="11" t="s">
        <v>476</v>
      </c>
      <c r="Q45" s="11"/>
      <c r="R45" s="11"/>
      <c r="S45" s="11"/>
      <c r="T45" s="11"/>
      <c r="U45" s="11" t="s">
        <v>61</v>
      </c>
      <c r="V45" s="11" t="s">
        <v>323</v>
      </c>
      <c r="W45" s="11" t="s">
        <v>67</v>
      </c>
      <c r="X45" s="11" t="s">
        <v>68</v>
      </c>
      <c r="Y45" s="13">
        <v>1</v>
      </c>
      <c r="Z45" s="11" t="s">
        <v>324</v>
      </c>
      <c r="AA45" s="11"/>
      <c r="AB45" s="11" t="s">
        <v>70</v>
      </c>
      <c r="AC45" s="11" t="s">
        <v>482</v>
      </c>
      <c r="AD45" s="11"/>
      <c r="AE45" s="11"/>
      <c r="AF45" s="11"/>
      <c r="AG45" s="11"/>
      <c r="AH45" s="11" t="s">
        <v>73</v>
      </c>
      <c r="AI45" s="11" t="s">
        <v>74</v>
      </c>
      <c r="AJ45" s="11" t="s">
        <v>97</v>
      </c>
      <c r="AK45" s="11" t="s">
        <v>483</v>
      </c>
      <c r="AL45" s="11" t="s">
        <v>77</v>
      </c>
      <c r="AM45" s="11" t="s">
        <v>78</v>
      </c>
      <c r="AN45" s="11" t="s">
        <v>79</v>
      </c>
      <c r="AO45" s="11" t="s">
        <v>79</v>
      </c>
      <c r="AP45" s="11" t="s">
        <v>80</v>
      </c>
      <c r="AQ45" s="11"/>
      <c r="AR45" s="11"/>
      <c r="AS45" s="11"/>
      <c r="AT45" s="11" t="s">
        <v>91</v>
      </c>
      <c r="AU45" s="11" t="s">
        <v>82</v>
      </c>
      <c r="AV45" s="11" t="s">
        <v>83</v>
      </c>
      <c r="AW45" s="9"/>
      <c r="AX45" s="9"/>
    </row>
    <row r="46" spans="1:50" ht="52.5" customHeight="1">
      <c r="A46" s="11" t="s">
        <v>52</v>
      </c>
      <c r="B46" s="11" t="s">
        <v>53</v>
      </c>
      <c r="C46" s="11" t="s">
        <v>485</v>
      </c>
      <c r="D46" s="11" t="s">
        <v>486</v>
      </c>
      <c r="E46" s="11" t="s">
        <v>487</v>
      </c>
      <c r="F46" s="13">
        <v>1</v>
      </c>
      <c r="G46" s="11" t="s">
        <v>57</v>
      </c>
      <c r="H46" s="11" t="s">
        <v>58</v>
      </c>
      <c r="I46" s="11" t="s">
        <v>488</v>
      </c>
      <c r="J46" s="11" t="s">
        <v>60</v>
      </c>
      <c r="K46" s="11" t="s">
        <v>61</v>
      </c>
      <c r="L46" s="11" t="s">
        <v>73</v>
      </c>
      <c r="M46" s="11" t="s">
        <v>103</v>
      </c>
      <c r="N46" s="11"/>
      <c r="O46" s="11"/>
      <c r="P46" s="11"/>
      <c r="Q46" s="11" t="s">
        <v>489</v>
      </c>
      <c r="R46" s="11" t="s">
        <v>487</v>
      </c>
      <c r="S46" s="11" t="s">
        <v>485</v>
      </c>
      <c r="T46" s="11"/>
      <c r="U46" s="11" t="s">
        <v>61</v>
      </c>
      <c r="V46" s="11" t="s">
        <v>323</v>
      </c>
      <c r="W46" s="11" t="s">
        <v>67</v>
      </c>
      <c r="X46" s="11" t="s">
        <v>68</v>
      </c>
      <c r="Y46" s="13">
        <v>1</v>
      </c>
      <c r="Z46" s="11" t="s">
        <v>324</v>
      </c>
      <c r="AA46" s="11"/>
      <c r="AB46" s="11" t="s">
        <v>70</v>
      </c>
      <c r="AC46" s="11" t="s">
        <v>490</v>
      </c>
      <c r="AD46" s="11"/>
      <c r="AE46" s="11"/>
      <c r="AF46" s="11"/>
      <c r="AG46" s="11"/>
      <c r="AH46" s="11" t="s">
        <v>73</v>
      </c>
      <c r="AI46" s="11" t="s">
        <v>78</v>
      </c>
      <c r="AJ46" s="11" t="s">
        <v>97</v>
      </c>
      <c r="AK46" s="11" t="s">
        <v>491</v>
      </c>
      <c r="AL46" s="11" t="s">
        <v>77</v>
      </c>
      <c r="AM46" s="11" t="s">
        <v>78</v>
      </c>
      <c r="AN46" s="11" t="s">
        <v>79</v>
      </c>
      <c r="AO46" s="11" t="s">
        <v>79</v>
      </c>
      <c r="AP46" s="11" t="s">
        <v>80</v>
      </c>
      <c r="AQ46" s="11"/>
      <c r="AR46" s="11"/>
      <c r="AS46" s="11"/>
      <c r="AT46" s="11" t="s">
        <v>91</v>
      </c>
      <c r="AU46" s="11" t="s">
        <v>82</v>
      </c>
      <c r="AV46" s="11" t="s">
        <v>83</v>
      </c>
      <c r="AW46" s="9"/>
      <c r="AX46" s="9"/>
    </row>
    <row r="47" spans="1:50" ht="52.5" customHeight="1">
      <c r="A47" s="11" t="s">
        <v>52</v>
      </c>
      <c r="B47" s="11" t="s">
        <v>53</v>
      </c>
      <c r="C47" s="11" t="s">
        <v>485</v>
      </c>
      <c r="D47" s="11" t="s">
        <v>493</v>
      </c>
      <c r="E47" s="11" t="s">
        <v>494</v>
      </c>
      <c r="F47" s="13">
        <v>1</v>
      </c>
      <c r="G47" s="11" t="s">
        <v>57</v>
      </c>
      <c r="H47" s="11" t="s">
        <v>58</v>
      </c>
      <c r="I47" s="11" t="s">
        <v>495</v>
      </c>
      <c r="J47" s="11" t="s">
        <v>60</v>
      </c>
      <c r="K47" s="11" t="s">
        <v>61</v>
      </c>
      <c r="L47" s="11" t="s">
        <v>73</v>
      </c>
      <c r="M47" s="11" t="s">
        <v>63</v>
      </c>
      <c r="N47" s="11" t="s">
        <v>496</v>
      </c>
      <c r="O47" s="11" t="s">
        <v>494</v>
      </c>
      <c r="P47" s="11" t="s">
        <v>485</v>
      </c>
      <c r="Q47" s="11"/>
      <c r="R47" s="11"/>
      <c r="S47" s="11"/>
      <c r="T47" s="11"/>
      <c r="U47" s="11" t="s">
        <v>61</v>
      </c>
      <c r="V47" s="11" t="s">
        <v>323</v>
      </c>
      <c r="W47" s="11" t="s">
        <v>67</v>
      </c>
      <c r="X47" s="11" t="s">
        <v>68</v>
      </c>
      <c r="Y47" s="13">
        <v>1</v>
      </c>
      <c r="Z47" s="11" t="s">
        <v>324</v>
      </c>
      <c r="AA47" s="11"/>
      <c r="AB47" s="11" t="s">
        <v>70</v>
      </c>
      <c r="AC47" s="11" t="s">
        <v>497</v>
      </c>
      <c r="AD47" s="11"/>
      <c r="AE47" s="11"/>
      <c r="AF47" s="11"/>
      <c r="AG47" s="11"/>
      <c r="AH47" s="11" t="s">
        <v>73</v>
      </c>
      <c r="AI47" s="11" t="s">
        <v>74</v>
      </c>
      <c r="AJ47" s="11" t="s">
        <v>97</v>
      </c>
      <c r="AK47" s="11" t="s">
        <v>497</v>
      </c>
      <c r="AL47" s="11" t="s">
        <v>77</v>
      </c>
      <c r="AM47" s="11" t="s">
        <v>78</v>
      </c>
      <c r="AN47" s="11" t="s">
        <v>79</v>
      </c>
      <c r="AO47" s="11" t="s">
        <v>79</v>
      </c>
      <c r="AP47" s="11" t="s">
        <v>80</v>
      </c>
      <c r="AQ47" s="11"/>
      <c r="AR47" s="11"/>
      <c r="AS47" s="11"/>
      <c r="AT47" s="11" t="s">
        <v>91</v>
      </c>
      <c r="AU47" s="11" t="s">
        <v>82</v>
      </c>
      <c r="AV47" s="11" t="s">
        <v>83</v>
      </c>
      <c r="AW47" s="9"/>
      <c r="AX47" s="9"/>
    </row>
    <row r="48" spans="1:50" ht="52.5" customHeight="1">
      <c r="A48" s="11" t="s">
        <v>52</v>
      </c>
      <c r="B48" s="11" t="s">
        <v>53</v>
      </c>
      <c r="C48" s="11" t="s">
        <v>485</v>
      </c>
      <c r="D48" s="11" t="s">
        <v>499</v>
      </c>
      <c r="E48" s="11" t="s">
        <v>500</v>
      </c>
      <c r="F48" s="13">
        <v>1</v>
      </c>
      <c r="G48" s="11" t="s">
        <v>57</v>
      </c>
      <c r="H48" s="11" t="s">
        <v>58</v>
      </c>
      <c r="I48" s="11" t="s">
        <v>501</v>
      </c>
      <c r="J48" s="11" t="s">
        <v>60</v>
      </c>
      <c r="K48" s="11" t="s">
        <v>61</v>
      </c>
      <c r="L48" s="11" t="s">
        <v>73</v>
      </c>
      <c r="M48" s="11" t="s">
        <v>63</v>
      </c>
      <c r="N48" s="11" t="s">
        <v>502</v>
      </c>
      <c r="O48" s="11" t="s">
        <v>500</v>
      </c>
      <c r="P48" s="11" t="s">
        <v>485</v>
      </c>
      <c r="Q48" s="11"/>
      <c r="R48" s="11"/>
      <c r="S48" s="11"/>
      <c r="T48" s="11"/>
      <c r="U48" s="11" t="s">
        <v>61</v>
      </c>
      <c r="V48" s="11" t="s">
        <v>323</v>
      </c>
      <c r="W48" s="11" t="s">
        <v>67</v>
      </c>
      <c r="X48" s="11" t="s">
        <v>68</v>
      </c>
      <c r="Y48" s="13">
        <v>1</v>
      </c>
      <c r="Z48" s="11" t="s">
        <v>324</v>
      </c>
      <c r="AA48" s="11"/>
      <c r="AB48" s="11" t="s">
        <v>70</v>
      </c>
      <c r="AC48" s="11" t="s">
        <v>503</v>
      </c>
      <c r="AD48" s="11"/>
      <c r="AE48" s="11"/>
      <c r="AF48" s="11"/>
      <c r="AG48" s="11"/>
      <c r="AH48" s="11" t="s">
        <v>73</v>
      </c>
      <c r="AI48" s="11" t="s">
        <v>74</v>
      </c>
      <c r="AJ48" s="11" t="s">
        <v>97</v>
      </c>
      <c r="AK48" s="11" t="s">
        <v>504</v>
      </c>
      <c r="AL48" s="11" t="s">
        <v>77</v>
      </c>
      <c r="AM48" s="11" t="s">
        <v>78</v>
      </c>
      <c r="AN48" s="11" t="s">
        <v>79</v>
      </c>
      <c r="AO48" s="11" t="s">
        <v>79</v>
      </c>
      <c r="AP48" s="11" t="s">
        <v>80</v>
      </c>
      <c r="AQ48" s="11"/>
      <c r="AR48" s="11"/>
      <c r="AS48" s="11"/>
      <c r="AT48" s="11" t="s">
        <v>91</v>
      </c>
      <c r="AU48" s="11" t="s">
        <v>82</v>
      </c>
      <c r="AV48" s="11" t="s">
        <v>83</v>
      </c>
      <c r="AW48" s="9"/>
      <c r="AX48" s="9"/>
    </row>
    <row r="49" spans="1:50" ht="52.5" customHeight="1">
      <c r="A49" s="11" t="s">
        <v>52</v>
      </c>
      <c r="B49" s="11" t="s">
        <v>53</v>
      </c>
      <c r="C49" s="11" t="s">
        <v>485</v>
      </c>
      <c r="D49" s="11" t="s">
        <v>505</v>
      </c>
      <c r="E49" s="11" t="s">
        <v>506</v>
      </c>
      <c r="F49" s="13">
        <v>1</v>
      </c>
      <c r="G49" s="11" t="s">
        <v>57</v>
      </c>
      <c r="H49" s="11" t="s">
        <v>58</v>
      </c>
      <c r="I49" s="11" t="s">
        <v>507</v>
      </c>
      <c r="J49" s="11" t="s">
        <v>60</v>
      </c>
      <c r="K49" s="11" t="s">
        <v>61</v>
      </c>
      <c r="L49" s="11" t="s">
        <v>73</v>
      </c>
      <c r="M49" s="11" t="s">
        <v>103</v>
      </c>
      <c r="N49" s="11"/>
      <c r="O49" s="11"/>
      <c r="P49" s="11"/>
      <c r="Q49" s="11" t="s">
        <v>508</v>
      </c>
      <c r="R49" s="11" t="s">
        <v>506</v>
      </c>
      <c r="S49" s="11" t="s">
        <v>485</v>
      </c>
      <c r="T49" s="11"/>
      <c r="U49" s="11" t="s">
        <v>61</v>
      </c>
      <c r="V49" s="11" t="s">
        <v>323</v>
      </c>
      <c r="W49" s="11" t="s">
        <v>67</v>
      </c>
      <c r="X49" s="11" t="s">
        <v>68</v>
      </c>
      <c r="Y49" s="13">
        <v>1</v>
      </c>
      <c r="Z49" s="11" t="s">
        <v>324</v>
      </c>
      <c r="AA49" s="11"/>
      <c r="AB49" s="11" t="s">
        <v>70</v>
      </c>
      <c r="AC49" s="11" t="s">
        <v>509</v>
      </c>
      <c r="AD49" s="11"/>
      <c r="AE49" s="11"/>
      <c r="AF49" s="11"/>
      <c r="AG49" s="11"/>
      <c r="AH49" s="11" t="s">
        <v>73</v>
      </c>
      <c r="AI49" s="11" t="s">
        <v>78</v>
      </c>
      <c r="AJ49" s="11" t="s">
        <v>97</v>
      </c>
      <c r="AK49" s="11" t="s">
        <v>510</v>
      </c>
      <c r="AL49" s="11" t="s">
        <v>77</v>
      </c>
      <c r="AM49" s="11" t="s">
        <v>78</v>
      </c>
      <c r="AN49" s="11" t="s">
        <v>79</v>
      </c>
      <c r="AO49" s="11" t="s">
        <v>79</v>
      </c>
      <c r="AP49" s="11" t="s">
        <v>80</v>
      </c>
      <c r="AQ49" s="11"/>
      <c r="AR49" s="11"/>
      <c r="AS49" s="11"/>
      <c r="AT49" s="11" t="s">
        <v>91</v>
      </c>
      <c r="AU49" s="11" t="s">
        <v>82</v>
      </c>
      <c r="AV49" s="11" t="s">
        <v>83</v>
      </c>
      <c r="AW49" s="9"/>
      <c r="AX49" s="9"/>
    </row>
    <row r="50" spans="1:50" ht="52.5" customHeight="1">
      <c r="A50" s="11" t="s">
        <v>52</v>
      </c>
      <c r="B50" s="11" t="s">
        <v>53</v>
      </c>
      <c r="C50" s="11" t="s">
        <v>485</v>
      </c>
      <c r="D50" s="11" t="s">
        <v>511</v>
      </c>
      <c r="E50" s="11" t="s">
        <v>512</v>
      </c>
      <c r="F50" s="13">
        <v>1</v>
      </c>
      <c r="G50" s="11" t="s">
        <v>513</v>
      </c>
      <c r="H50" s="11" t="s">
        <v>58</v>
      </c>
      <c r="I50" s="11" t="s">
        <v>514</v>
      </c>
      <c r="J50" s="11" t="s">
        <v>60</v>
      </c>
      <c r="K50" s="11" t="s">
        <v>61</v>
      </c>
      <c r="L50" s="11" t="s">
        <v>73</v>
      </c>
      <c r="M50" s="11" t="s">
        <v>103</v>
      </c>
      <c r="N50" s="11"/>
      <c r="O50" s="11"/>
      <c r="P50" s="11"/>
      <c r="Q50" s="11" t="s">
        <v>515</v>
      </c>
      <c r="R50" s="11" t="s">
        <v>512</v>
      </c>
      <c r="S50" s="11" t="s">
        <v>485</v>
      </c>
      <c r="T50" s="11"/>
      <c r="U50" s="11" t="s">
        <v>61</v>
      </c>
      <c r="V50" s="11" t="s">
        <v>323</v>
      </c>
      <c r="W50" s="11" t="s">
        <v>67</v>
      </c>
      <c r="X50" s="11" t="s">
        <v>68</v>
      </c>
      <c r="Y50" s="13">
        <v>1</v>
      </c>
      <c r="Z50" s="11" t="s">
        <v>324</v>
      </c>
      <c r="AA50" s="11"/>
      <c r="AB50" s="11" t="s">
        <v>70</v>
      </c>
      <c r="AC50" s="11" t="s">
        <v>516</v>
      </c>
      <c r="AD50" s="11"/>
      <c r="AE50" s="11"/>
      <c r="AF50" s="11"/>
      <c r="AG50" s="11"/>
      <c r="AH50" s="11" t="s">
        <v>73</v>
      </c>
      <c r="AI50" s="11" t="s">
        <v>517</v>
      </c>
      <c r="AJ50" s="11" t="s">
        <v>518</v>
      </c>
      <c r="AK50" s="11"/>
      <c r="AL50" s="11" t="s">
        <v>77</v>
      </c>
      <c r="AM50" s="11" t="s">
        <v>78</v>
      </c>
      <c r="AN50" s="11" t="s">
        <v>79</v>
      </c>
      <c r="AO50" s="11" t="s">
        <v>79</v>
      </c>
      <c r="AP50" s="11" t="s">
        <v>80</v>
      </c>
      <c r="AQ50" s="11"/>
      <c r="AR50" s="11"/>
      <c r="AS50" s="11"/>
      <c r="AT50" s="11" t="s">
        <v>91</v>
      </c>
      <c r="AU50" s="11" t="s">
        <v>82</v>
      </c>
      <c r="AV50" s="11" t="s">
        <v>83</v>
      </c>
      <c r="AW50" s="9"/>
      <c r="AX50" s="9"/>
    </row>
    <row r="51" spans="1:50" ht="21.75" customHeight="1">
      <c r="A51" s="11" t="s">
        <v>52</v>
      </c>
      <c r="B51" s="11" t="s">
        <v>53</v>
      </c>
      <c r="C51" s="11" t="s">
        <v>485</v>
      </c>
      <c r="D51" s="11" t="s">
        <v>519</v>
      </c>
      <c r="E51" s="11" t="s">
        <v>520</v>
      </c>
      <c r="F51" s="13">
        <v>1</v>
      </c>
      <c r="G51" s="11" t="s">
        <v>513</v>
      </c>
      <c r="H51" s="11" t="s">
        <v>58</v>
      </c>
      <c r="I51" s="11" t="s">
        <v>521</v>
      </c>
      <c r="J51" s="11" t="s">
        <v>60</v>
      </c>
      <c r="K51" s="11" t="s">
        <v>61</v>
      </c>
      <c r="L51" s="11" t="s">
        <v>73</v>
      </c>
      <c r="M51" s="11" t="s">
        <v>103</v>
      </c>
      <c r="N51" s="11"/>
      <c r="O51" s="11"/>
      <c r="P51" s="11"/>
      <c r="Q51" s="11" t="s">
        <v>522</v>
      </c>
      <c r="R51" s="11" t="s">
        <v>520</v>
      </c>
      <c r="S51" s="11" t="s">
        <v>485</v>
      </c>
      <c r="T51" s="11"/>
      <c r="U51" s="11" t="s">
        <v>61</v>
      </c>
      <c r="V51" s="11" t="s">
        <v>323</v>
      </c>
      <c r="W51" s="11" t="s">
        <v>67</v>
      </c>
      <c r="X51" s="11" t="s">
        <v>68</v>
      </c>
      <c r="Y51" s="13">
        <v>1</v>
      </c>
      <c r="Z51" s="11" t="s">
        <v>324</v>
      </c>
      <c r="AA51" s="11"/>
      <c r="AB51" s="11" t="s">
        <v>70</v>
      </c>
      <c r="AC51" s="11" t="s">
        <v>523</v>
      </c>
      <c r="AD51" s="11"/>
      <c r="AE51" s="11"/>
      <c r="AF51" s="11"/>
      <c r="AG51" s="11"/>
      <c r="AH51" s="11" t="s">
        <v>73</v>
      </c>
      <c r="AI51" s="11" t="s">
        <v>517</v>
      </c>
      <c r="AJ51" s="11" t="s">
        <v>518</v>
      </c>
      <c r="AK51" s="11"/>
      <c r="AL51" s="11" t="s">
        <v>77</v>
      </c>
      <c r="AM51" s="11" t="s">
        <v>78</v>
      </c>
      <c r="AN51" s="11" t="s">
        <v>79</v>
      </c>
      <c r="AO51" s="11" t="s">
        <v>79</v>
      </c>
      <c r="AP51" s="11" t="s">
        <v>80</v>
      </c>
      <c r="AQ51" s="11"/>
      <c r="AR51" s="11"/>
      <c r="AS51" s="11"/>
      <c r="AT51" s="11" t="s">
        <v>91</v>
      </c>
      <c r="AU51" s="11" t="s">
        <v>82</v>
      </c>
      <c r="AV51" s="11" t="s">
        <v>83</v>
      </c>
      <c r="AW51" s="9"/>
      <c r="AX51" s="9"/>
    </row>
    <row r="52" spans="1:50" ht="52.5" customHeight="1">
      <c r="A52" s="11" t="s">
        <v>52</v>
      </c>
      <c r="B52" s="11" t="s">
        <v>53</v>
      </c>
      <c r="C52" s="11" t="s">
        <v>485</v>
      </c>
      <c r="D52" s="11" t="s">
        <v>525</v>
      </c>
      <c r="E52" s="11" t="s">
        <v>526</v>
      </c>
      <c r="F52" s="13">
        <v>1</v>
      </c>
      <c r="G52" s="11" t="s">
        <v>513</v>
      </c>
      <c r="H52" s="11" t="s">
        <v>58</v>
      </c>
      <c r="I52" s="11" t="s">
        <v>527</v>
      </c>
      <c r="J52" s="11" t="s">
        <v>60</v>
      </c>
      <c r="K52" s="11" t="s">
        <v>61</v>
      </c>
      <c r="L52" s="11" t="s">
        <v>73</v>
      </c>
      <c r="M52" s="11" t="s">
        <v>103</v>
      </c>
      <c r="N52" s="11"/>
      <c r="O52" s="11"/>
      <c r="P52" s="11"/>
      <c r="Q52" s="11" t="s">
        <v>528</v>
      </c>
      <c r="R52" s="11" t="s">
        <v>526</v>
      </c>
      <c r="S52" s="11" t="s">
        <v>485</v>
      </c>
      <c r="T52" s="11"/>
      <c r="U52" s="11" t="s">
        <v>61</v>
      </c>
      <c r="V52" s="11" t="s">
        <v>323</v>
      </c>
      <c r="W52" s="11" t="s">
        <v>67</v>
      </c>
      <c r="X52" s="11" t="s">
        <v>68</v>
      </c>
      <c r="Y52" s="13">
        <v>1</v>
      </c>
      <c r="Z52" s="11" t="s">
        <v>324</v>
      </c>
      <c r="AA52" s="11"/>
      <c r="AB52" s="11" t="s">
        <v>70</v>
      </c>
      <c r="AC52" s="11" t="s">
        <v>529</v>
      </c>
      <c r="AD52" s="11"/>
      <c r="AE52" s="11"/>
      <c r="AF52" s="11"/>
      <c r="AG52" s="11"/>
      <c r="AH52" s="11" t="s">
        <v>73</v>
      </c>
      <c r="AI52" s="11" t="s">
        <v>78</v>
      </c>
      <c r="AJ52" s="11" t="s">
        <v>530</v>
      </c>
      <c r="AK52" s="11"/>
      <c r="AL52" s="11" t="s">
        <v>77</v>
      </c>
      <c r="AM52" s="11" t="s">
        <v>78</v>
      </c>
      <c r="AN52" s="11" t="s">
        <v>79</v>
      </c>
      <c r="AO52" s="11" t="s">
        <v>79</v>
      </c>
      <c r="AP52" s="11" t="s">
        <v>80</v>
      </c>
      <c r="AQ52" s="11"/>
      <c r="AR52" s="11"/>
      <c r="AS52" s="11"/>
      <c r="AT52" s="11" t="s">
        <v>91</v>
      </c>
      <c r="AU52" s="11" t="s">
        <v>82</v>
      </c>
      <c r="AV52" s="11" t="s">
        <v>83</v>
      </c>
      <c r="AW52" s="9"/>
      <c r="AX52" s="9"/>
    </row>
    <row r="53" spans="1:50" ht="52.5" customHeight="1">
      <c r="A53" s="11" t="s">
        <v>52</v>
      </c>
      <c r="B53" s="11" t="s">
        <v>53</v>
      </c>
      <c r="C53" s="11" t="s">
        <v>485</v>
      </c>
      <c r="D53" s="11" t="s">
        <v>531</v>
      </c>
      <c r="E53" s="11" t="s">
        <v>532</v>
      </c>
      <c r="F53" s="13">
        <v>1</v>
      </c>
      <c r="G53" s="11" t="s">
        <v>513</v>
      </c>
      <c r="H53" s="11" t="s">
        <v>58</v>
      </c>
      <c r="I53" s="11" t="s">
        <v>533</v>
      </c>
      <c r="J53" s="11" t="s">
        <v>60</v>
      </c>
      <c r="K53" s="11" t="s">
        <v>61</v>
      </c>
      <c r="L53" s="11" t="s">
        <v>62</v>
      </c>
      <c r="M53" s="11" t="s">
        <v>103</v>
      </c>
      <c r="N53" s="11"/>
      <c r="O53" s="11"/>
      <c r="P53" s="11"/>
      <c r="Q53" s="11" t="s">
        <v>78</v>
      </c>
      <c r="R53" s="11" t="s">
        <v>532</v>
      </c>
      <c r="S53" s="11" t="s">
        <v>485</v>
      </c>
      <c r="T53" s="11"/>
      <c r="U53" s="11" t="s">
        <v>61</v>
      </c>
      <c r="V53" s="11" t="s">
        <v>66</v>
      </c>
      <c r="W53" s="11" t="s">
        <v>67</v>
      </c>
      <c r="X53" s="11" t="s">
        <v>68</v>
      </c>
      <c r="Y53" s="13">
        <v>1</v>
      </c>
      <c r="Z53" s="11" t="s">
        <v>69</v>
      </c>
      <c r="AA53" s="11"/>
      <c r="AB53" s="11" t="s">
        <v>70</v>
      </c>
      <c r="AC53" s="11" t="s">
        <v>534</v>
      </c>
      <c r="AD53" s="11"/>
      <c r="AE53" s="11"/>
      <c r="AF53" s="11"/>
      <c r="AG53" s="11"/>
      <c r="AH53" s="11" t="s">
        <v>73</v>
      </c>
      <c r="AI53" s="11" t="s">
        <v>74</v>
      </c>
      <c r="AJ53" s="11" t="s">
        <v>97</v>
      </c>
      <c r="AK53" s="11"/>
      <c r="AL53" s="11" t="s">
        <v>77</v>
      </c>
      <c r="AM53" s="11" t="s">
        <v>78</v>
      </c>
      <c r="AN53" s="11" t="s">
        <v>79</v>
      </c>
      <c r="AO53" s="11" t="s">
        <v>79</v>
      </c>
      <c r="AP53" s="11" t="s">
        <v>80</v>
      </c>
      <c r="AQ53" s="11"/>
      <c r="AR53" s="11"/>
      <c r="AS53" s="11"/>
      <c r="AT53" s="11" t="s">
        <v>91</v>
      </c>
      <c r="AU53" s="11" t="s">
        <v>82</v>
      </c>
      <c r="AV53" s="11" t="s">
        <v>83</v>
      </c>
      <c r="AW53" s="9"/>
      <c r="AX53" s="9"/>
    </row>
    <row r="54" spans="1:50" ht="52.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9"/>
      <c r="AW54" s="9"/>
      <c r="AX54" s="9"/>
    </row>
    <row r="55" spans="1:50" ht="52.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9"/>
      <c r="AW55" s="9"/>
      <c r="AX55" s="9"/>
    </row>
    <row r="56" spans="1:50" ht="52.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9"/>
      <c r="AW56" s="9"/>
      <c r="AX56" s="9"/>
    </row>
    <row r="57" spans="1:50" ht="52.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9"/>
      <c r="AW57" s="9"/>
      <c r="AX57" s="9"/>
    </row>
    <row r="58" spans="1:50" ht="52.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9"/>
      <c r="AW58" s="9"/>
      <c r="AX58" s="9"/>
    </row>
    <row r="59" spans="1:50" ht="52.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9"/>
      <c r="AW59" s="9"/>
      <c r="AX59" s="9"/>
    </row>
    <row r="60" spans="1:50" ht="52.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9"/>
      <c r="AW60" s="9"/>
      <c r="AX60" s="9"/>
    </row>
    <row r="61" spans="1:50" ht="52.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9"/>
      <c r="AW61" s="9"/>
      <c r="AX61" s="9"/>
    </row>
    <row r="62" spans="1:50" ht="52.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9"/>
      <c r="AW62" s="9"/>
      <c r="AX62" s="9"/>
    </row>
  </sheetData>
  <pageMargins left="0.7" right="0.7" top="0.75" bottom="0.75" header="0" footer="0"/>
  <pageSetup orientation="landscape"/>
  <headerFooter>
    <oddFooter>&amp;L_x000D_&amp;1#&amp;"Aptos"&amp;10&amp;K000000 Sensitivity: C1-Internal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98"/>
  <sheetViews>
    <sheetView workbookViewId="0"/>
  </sheetViews>
  <sheetFormatPr defaultColWidth="14.44140625" defaultRowHeight="15" customHeight="1"/>
  <cols>
    <col min="1" max="1" width="10.109375" customWidth="1"/>
    <col min="2" max="2" width="9.88671875" customWidth="1"/>
    <col min="3" max="3" width="9" customWidth="1"/>
    <col min="4" max="4" width="14.88671875" customWidth="1"/>
    <col min="5" max="5" width="16.6640625" customWidth="1"/>
    <col min="6" max="6" width="13.6640625" customWidth="1"/>
    <col min="7" max="7" width="10.44140625" customWidth="1"/>
    <col min="8" max="8" width="16.6640625" customWidth="1"/>
    <col min="9" max="9" width="12.33203125" customWidth="1"/>
    <col min="10" max="10" width="9.44140625" customWidth="1"/>
    <col min="11" max="11" width="14" customWidth="1"/>
    <col min="12" max="12" width="10.109375" customWidth="1"/>
    <col min="13" max="14" width="13.44140625" customWidth="1"/>
    <col min="15" max="15" width="10.5546875" customWidth="1"/>
    <col min="16" max="16" width="9.5546875" customWidth="1"/>
    <col min="17" max="17" width="10.6640625" customWidth="1"/>
    <col min="18" max="18" width="14.109375" customWidth="1"/>
    <col min="19" max="19" width="11.88671875" customWidth="1"/>
    <col min="20" max="20" width="12.44140625" customWidth="1"/>
    <col min="22" max="22" width="8.88671875" customWidth="1"/>
    <col min="23" max="44" width="40.6640625" customWidth="1"/>
  </cols>
  <sheetData>
    <row r="1" spans="1:44" ht="33" customHeight="1">
      <c r="A1" s="147" t="s">
        <v>4</v>
      </c>
      <c r="B1" s="76"/>
      <c r="C1" s="76"/>
      <c r="D1" s="76"/>
      <c r="E1" s="76"/>
      <c r="F1" s="76"/>
      <c r="G1" s="76"/>
      <c r="H1" s="76"/>
      <c r="I1" s="76"/>
      <c r="J1" s="76"/>
      <c r="K1" s="76"/>
      <c r="L1" s="76"/>
      <c r="M1" s="76"/>
      <c r="N1" s="76"/>
      <c r="O1" s="76"/>
      <c r="P1" s="76"/>
      <c r="Q1" s="76"/>
      <c r="R1" s="76"/>
      <c r="S1" s="76"/>
      <c r="T1" s="76"/>
      <c r="U1" s="76"/>
      <c r="V1" s="76"/>
      <c r="W1" s="76"/>
      <c r="X1" s="76"/>
      <c r="Y1" s="4"/>
      <c r="Z1" s="4"/>
      <c r="AA1" s="4"/>
      <c r="AB1" s="4"/>
      <c r="AC1" s="4"/>
      <c r="AD1" s="4"/>
      <c r="AE1" s="4"/>
      <c r="AF1" s="4"/>
      <c r="AG1" s="4"/>
      <c r="AH1" s="4"/>
      <c r="AI1" s="4"/>
      <c r="AJ1" s="4"/>
      <c r="AK1" s="4"/>
      <c r="AL1" s="4"/>
      <c r="AM1" s="4"/>
      <c r="AN1" s="4"/>
      <c r="AO1" s="4"/>
      <c r="AP1" s="4"/>
      <c r="AQ1" s="4"/>
      <c r="AR1" s="4"/>
    </row>
    <row r="2" spans="1:44" ht="10.5" customHeight="1">
      <c r="A2" s="7"/>
      <c r="B2" s="10"/>
      <c r="C2" s="10"/>
      <c r="D2" s="12"/>
      <c r="E2" s="12"/>
      <c r="F2" s="12"/>
      <c r="G2" s="12"/>
      <c r="H2" s="12"/>
      <c r="I2" s="12"/>
      <c r="J2" s="12"/>
      <c r="K2" s="14"/>
      <c r="L2" s="14"/>
      <c r="M2" s="10"/>
      <c r="N2" s="10"/>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c r="A3" s="148" t="s">
        <v>41</v>
      </c>
      <c r="B3" s="78"/>
      <c r="C3" s="78"/>
      <c r="D3" s="17" t="str">
        <f>'CP Front Page'!Control_Plan_Number</f>
        <v>CP_MOB_ATA25_1322_D256-79839-002-00_INST.BRACKET 72X10</v>
      </c>
      <c r="E3" s="18"/>
      <c r="F3" s="18"/>
      <c r="G3" s="18"/>
      <c r="H3" s="18"/>
      <c r="I3" s="18"/>
      <c r="J3" s="18"/>
      <c r="K3" s="18"/>
      <c r="L3" s="18"/>
      <c r="M3" s="18"/>
      <c r="N3" s="18"/>
      <c r="O3" s="18"/>
      <c r="P3" s="18"/>
      <c r="Q3" s="18"/>
      <c r="R3" s="18"/>
      <c r="S3" s="18"/>
      <c r="T3" s="18"/>
      <c r="U3" s="18"/>
      <c r="V3" s="18"/>
      <c r="W3" s="19"/>
      <c r="X3" s="19"/>
      <c r="Y3" s="19"/>
      <c r="Z3" s="19"/>
      <c r="AA3" s="19"/>
      <c r="AB3" s="19"/>
      <c r="AC3" s="19"/>
      <c r="AD3" s="19"/>
      <c r="AE3" s="19"/>
      <c r="AF3" s="19"/>
      <c r="AG3" s="19"/>
      <c r="AH3" s="19"/>
      <c r="AI3" s="19"/>
      <c r="AJ3" s="19"/>
      <c r="AK3" s="19"/>
      <c r="AL3" s="19"/>
      <c r="AM3" s="19"/>
      <c r="AN3" s="19"/>
      <c r="AO3" s="19"/>
      <c r="AP3" s="19"/>
      <c r="AQ3" s="19"/>
      <c r="AR3" s="19"/>
    </row>
    <row r="4" spans="1:44" ht="12" customHeight="1">
      <c r="A4" s="149" t="s">
        <v>87</v>
      </c>
      <c r="B4" s="78"/>
      <c r="C4" s="78"/>
      <c r="D4" s="17" t="str">
        <f>'CP Front Page'!Issue</f>
        <v>A0</v>
      </c>
      <c r="E4" s="18"/>
      <c r="F4" s="18"/>
      <c r="G4" s="18"/>
      <c r="H4" s="18"/>
      <c r="I4" s="18"/>
      <c r="J4" s="18"/>
      <c r="K4" s="18"/>
      <c r="L4" s="18"/>
      <c r="M4" s="18"/>
      <c r="N4" s="18"/>
      <c r="O4" s="18"/>
      <c r="P4" s="18"/>
      <c r="Q4" s="18"/>
      <c r="R4" s="18"/>
      <c r="S4" s="18"/>
      <c r="T4" s="18"/>
      <c r="U4" s="18"/>
      <c r="V4" s="18"/>
      <c r="W4" s="19"/>
      <c r="X4" s="19"/>
      <c r="Y4" s="19"/>
      <c r="Z4" s="19"/>
      <c r="AA4" s="19"/>
      <c r="AB4" s="19"/>
      <c r="AC4" s="19"/>
      <c r="AD4" s="19"/>
      <c r="AE4" s="19"/>
      <c r="AF4" s="19"/>
      <c r="AG4" s="19"/>
      <c r="AH4" s="19"/>
      <c r="AI4" s="19"/>
      <c r="AJ4" s="19"/>
      <c r="AK4" s="19"/>
      <c r="AL4" s="19"/>
      <c r="AM4" s="19"/>
      <c r="AN4" s="19"/>
      <c r="AO4" s="19"/>
      <c r="AP4" s="19"/>
      <c r="AQ4" s="19"/>
      <c r="AR4" s="19"/>
    </row>
    <row r="5" spans="1:44" ht="12" customHeight="1">
      <c r="A5" s="149" t="s">
        <v>99</v>
      </c>
      <c r="B5" s="78"/>
      <c r="C5" s="78"/>
      <c r="D5" s="17" t="str">
        <f>'CP Front Page'!Product_Number</f>
        <v>D256-79839-002-00</v>
      </c>
      <c r="E5" s="18"/>
      <c r="F5" s="18"/>
      <c r="G5" s="18"/>
      <c r="H5" s="18"/>
      <c r="I5" s="18"/>
      <c r="J5" s="18"/>
      <c r="K5" s="18"/>
      <c r="L5" s="18"/>
      <c r="M5" s="18"/>
      <c r="N5" s="18"/>
      <c r="O5" s="18"/>
      <c r="P5" s="18"/>
      <c r="Q5" s="18"/>
      <c r="R5" s="18"/>
      <c r="S5" s="18"/>
      <c r="T5" s="18"/>
      <c r="U5" s="18"/>
      <c r="V5" s="18"/>
      <c r="W5" s="19"/>
      <c r="X5" s="19"/>
      <c r="Y5" s="19"/>
      <c r="Z5" s="19"/>
      <c r="AA5" s="19"/>
      <c r="AB5" s="19"/>
      <c r="AC5" s="19"/>
      <c r="AD5" s="19"/>
      <c r="AE5" s="19"/>
      <c r="AF5" s="19"/>
      <c r="AG5" s="19"/>
      <c r="AH5" s="19"/>
      <c r="AI5" s="19"/>
      <c r="AJ5" s="19"/>
      <c r="AK5" s="19"/>
      <c r="AL5" s="19"/>
      <c r="AM5" s="19"/>
      <c r="AN5" s="19"/>
      <c r="AO5" s="19"/>
      <c r="AP5" s="19"/>
      <c r="AQ5" s="19"/>
      <c r="AR5" s="19"/>
    </row>
    <row r="6" spans="1:44" ht="12" customHeight="1">
      <c r="A6" s="149" t="s">
        <v>107</v>
      </c>
      <c r="B6" s="78"/>
      <c r="C6" s="78"/>
      <c r="D6" s="17" t="str">
        <f>'CP Front Page'!Product_Designation</f>
        <v>INST.BRACKET 72X10</v>
      </c>
      <c r="E6" s="18"/>
      <c r="F6" s="18"/>
      <c r="G6" s="18"/>
      <c r="H6" s="18"/>
      <c r="I6" s="18"/>
      <c r="J6" s="18"/>
      <c r="K6" s="18"/>
      <c r="L6" s="18"/>
      <c r="M6" s="18"/>
      <c r="N6" s="18"/>
      <c r="O6" s="18"/>
      <c r="P6" s="18"/>
      <c r="Q6" s="18"/>
      <c r="R6" s="18"/>
      <c r="S6" s="18"/>
      <c r="T6" s="18"/>
      <c r="U6" s="18"/>
      <c r="V6" s="18"/>
      <c r="W6" s="19"/>
      <c r="X6" s="19"/>
      <c r="Y6" s="19"/>
      <c r="Z6" s="19"/>
      <c r="AA6" s="19"/>
      <c r="AB6" s="19"/>
      <c r="AC6" s="19"/>
      <c r="AD6" s="19"/>
      <c r="AE6" s="19"/>
      <c r="AF6" s="19"/>
      <c r="AG6" s="19"/>
      <c r="AH6" s="19"/>
      <c r="AI6" s="19"/>
      <c r="AJ6" s="19"/>
      <c r="AK6" s="19"/>
      <c r="AL6" s="19"/>
      <c r="AM6" s="19"/>
      <c r="AN6" s="19"/>
      <c r="AO6" s="19"/>
      <c r="AP6" s="19"/>
      <c r="AQ6" s="19"/>
      <c r="AR6" s="19"/>
    </row>
    <row r="7" spans="1:44" ht="12" customHeight="1">
      <c r="A7" s="149" t="s">
        <v>119</v>
      </c>
      <c r="B7" s="78"/>
      <c r="C7" s="78"/>
      <c r="D7" s="22" t="str">
        <f>'CP Front Page'!Point_of_Embodiment</f>
        <v>MSN 13441</v>
      </c>
      <c r="E7" s="18"/>
      <c r="F7" s="18"/>
      <c r="G7" s="18"/>
      <c r="H7" s="18"/>
      <c r="I7" s="18"/>
      <c r="J7" s="18"/>
      <c r="K7" s="18"/>
      <c r="L7" s="18"/>
      <c r="M7" s="18"/>
      <c r="N7" s="18"/>
      <c r="O7" s="18"/>
      <c r="P7" s="18"/>
      <c r="Q7" s="18"/>
      <c r="R7" s="18"/>
      <c r="S7" s="18"/>
      <c r="T7" s="18"/>
      <c r="U7" s="18"/>
      <c r="V7" s="18"/>
      <c r="W7" s="23"/>
      <c r="X7" s="23"/>
      <c r="Y7" s="23"/>
      <c r="Z7" s="23"/>
      <c r="AA7" s="23"/>
      <c r="AB7" s="23"/>
      <c r="AC7" s="23"/>
      <c r="AD7" s="23"/>
      <c r="AE7" s="23"/>
      <c r="AF7" s="23"/>
      <c r="AG7" s="23"/>
      <c r="AH7" s="23"/>
      <c r="AI7" s="23"/>
      <c r="AJ7" s="23"/>
      <c r="AK7" s="23"/>
      <c r="AL7" s="23"/>
      <c r="AM7" s="23"/>
      <c r="AN7" s="23"/>
      <c r="AO7" s="23"/>
      <c r="AP7" s="23"/>
      <c r="AQ7" s="23"/>
      <c r="AR7" s="23"/>
    </row>
    <row r="8" spans="1:44" ht="21" customHeight="1">
      <c r="A8" s="7"/>
      <c r="B8" s="10"/>
      <c r="C8" s="10"/>
      <c r="D8" s="12"/>
      <c r="E8" s="12"/>
      <c r="F8" s="12"/>
      <c r="G8" s="12"/>
      <c r="H8" s="12"/>
      <c r="I8" s="12"/>
      <c r="J8" s="12"/>
      <c r="K8" s="14"/>
      <c r="L8" s="14"/>
      <c r="M8" s="10"/>
      <c r="N8" s="10"/>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2" customHeight="1">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2"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2"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2"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2"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2"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2"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2"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2"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2"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2"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2"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2"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2"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2"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2"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2"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2"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2"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2"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2"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2"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2"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2"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2"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2"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2"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2"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2"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2"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2"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2"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2"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2"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2"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2"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2"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2"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2"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2"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2"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2"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2"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2"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2"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2"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2"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2"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2"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2"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2"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2"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row>
    <row r="61" spans="1:44" ht="12"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row>
    <row r="62" spans="1:44" ht="12"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row>
    <row r="63" spans="1:44" ht="12"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row>
    <row r="64" spans="1:44" ht="12"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row>
    <row r="65" spans="1:44" ht="12"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row>
    <row r="66" spans="1:44" ht="12"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row>
    <row r="67" spans="1:44" ht="12"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row>
    <row r="68" spans="1:44" ht="12"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row>
    <row r="69" spans="1:44" ht="12"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row>
    <row r="70" spans="1:44" ht="12"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row>
    <row r="71" spans="1:44" ht="12"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row>
    <row r="72" spans="1:44" ht="12"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row>
    <row r="73" spans="1:44" ht="12"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row>
    <row r="74" spans="1:44" ht="12"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row>
    <row r="75" spans="1:44" ht="12"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row>
    <row r="76" spans="1:44" ht="12"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row>
    <row r="77" spans="1:44" ht="12"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row>
    <row r="78" spans="1:44" ht="12"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row>
    <row r="79" spans="1:44" ht="12"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row>
    <row r="80" spans="1:44" ht="12"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row>
    <row r="81" spans="1:44" ht="12"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row>
    <row r="82" spans="1:44" ht="12"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row>
    <row r="83" spans="1:44" ht="12"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row>
    <row r="84" spans="1:44" ht="12"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row>
    <row r="85" spans="1:44" ht="12"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row>
    <row r="86" spans="1:44" ht="12"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row>
    <row r="87" spans="1:44" ht="12"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row>
    <row r="88" spans="1:44" ht="12"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row>
    <row r="89" spans="1:44" ht="12"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row>
    <row r="90" spans="1:44" ht="12"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row>
    <row r="91" spans="1:44" ht="12"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row>
    <row r="92" spans="1:44" ht="12"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row>
    <row r="93" spans="1:44" ht="12"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row>
    <row r="94" spans="1:44" ht="12"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row>
    <row r="95" spans="1:44" ht="12"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row>
    <row r="96" spans="1:44" ht="12"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row>
    <row r="97" spans="1:44" ht="12"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row>
    <row r="98" spans="1:44" ht="12"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row>
    <row r="99" spans="1:44" ht="12"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row>
    <row r="100" spans="1:44" ht="12"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row>
    <row r="101" spans="1:44" ht="12"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row>
    <row r="102" spans="1:44" ht="12"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row>
    <row r="103" spans="1:44" ht="12"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row>
    <row r="104" spans="1:44" ht="12"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row>
    <row r="105" spans="1:44" ht="12"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row>
    <row r="106" spans="1:44" ht="12"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row>
    <row r="107" spans="1:44" ht="12"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row>
    <row r="108" spans="1:44" ht="12"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row>
    <row r="109" spans="1:44" ht="12"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row>
    <row r="110" spans="1:44" ht="12"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row>
    <row r="111" spans="1:44" ht="12"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row>
    <row r="112" spans="1:44" ht="12"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row>
    <row r="113" spans="1:44" ht="12"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row>
    <row r="114" spans="1:44" ht="12"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row>
    <row r="115" spans="1:44" ht="12"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row>
    <row r="116" spans="1:44" ht="12"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row>
    <row r="117" spans="1:44" ht="12"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row>
    <row r="118" spans="1:44" ht="12"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row>
    <row r="119" spans="1:44" ht="12"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row>
    <row r="120" spans="1:44" ht="12"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row>
    <row r="121" spans="1:44" ht="12"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row>
    <row r="122" spans="1:44" ht="12"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row>
    <row r="123" spans="1:44" ht="12"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row>
    <row r="124" spans="1:44" ht="12"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row>
    <row r="125" spans="1:44" ht="12"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row>
    <row r="126" spans="1:44" ht="12"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row>
    <row r="127" spans="1:44" ht="12"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row>
    <row r="128" spans="1:44" ht="12"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row>
    <row r="129" spans="1:44" ht="12"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row>
    <row r="130" spans="1:44" ht="12"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row>
    <row r="131" spans="1:44" ht="12"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row>
    <row r="132" spans="1:44" ht="12"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row>
    <row r="133" spans="1:44" ht="12"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row>
    <row r="134" spans="1:44" ht="12"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row>
    <row r="135" spans="1:44" ht="12"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row>
    <row r="136" spans="1:44" ht="12"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row>
    <row r="137" spans="1:44" ht="12"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row>
    <row r="138" spans="1:44" ht="12"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row>
    <row r="139" spans="1:44" ht="12"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row>
    <row r="140" spans="1:44" ht="12"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row>
    <row r="141" spans="1:44" ht="12"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row>
    <row r="142" spans="1:44" ht="12"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row>
    <row r="143" spans="1:44" ht="12"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row>
    <row r="144" spans="1:44" ht="12"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row>
    <row r="145" spans="1:44" ht="12"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row>
    <row r="146" spans="1:44" ht="12"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row>
    <row r="147" spans="1:44" ht="12"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row>
    <row r="148" spans="1:44" ht="12"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row>
    <row r="149" spans="1:44" ht="12"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row>
    <row r="150" spans="1:44" ht="12"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row>
    <row r="151" spans="1:44" ht="12"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row>
    <row r="152" spans="1:44" ht="12"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row>
    <row r="153" spans="1:44" ht="12"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row>
    <row r="154" spans="1:44" ht="12"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row>
    <row r="155" spans="1:44" ht="12"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row>
    <row r="156" spans="1:44" ht="12"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row>
    <row r="157" spans="1:44" ht="12"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row>
    <row r="158" spans="1:44" ht="12"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row>
    <row r="159" spans="1:44" ht="12"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row>
    <row r="160" spans="1:44" ht="12"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row>
    <row r="161" spans="1:44" ht="12"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row>
    <row r="162" spans="1:44" ht="12"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row>
    <row r="163" spans="1:44" ht="12"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row>
    <row r="164" spans="1:44" ht="12"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row>
    <row r="165" spans="1:44" ht="12"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row>
    <row r="166" spans="1:44" ht="12"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row>
    <row r="167" spans="1:44" ht="12"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row>
    <row r="168" spans="1:44" ht="12"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row>
    <row r="169" spans="1:44" ht="12"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row>
    <row r="170" spans="1:44" ht="12"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row>
    <row r="171" spans="1:44" ht="12"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row>
    <row r="172" spans="1:44" ht="12"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row>
    <row r="173" spans="1:44" ht="12"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row>
    <row r="174" spans="1:44" ht="12"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row>
    <row r="175" spans="1:44" ht="12"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row>
    <row r="176" spans="1:44" ht="12"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row>
    <row r="177" spans="1:44" ht="12"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row>
    <row r="178" spans="1:44" ht="12"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row>
    <row r="179" spans="1:44" ht="12"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row>
    <row r="180" spans="1:44" ht="12"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row>
    <row r="181" spans="1:44" ht="12"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row>
    <row r="182" spans="1:44" ht="12"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row>
    <row r="183" spans="1:44" ht="12"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row>
    <row r="184" spans="1:44" ht="12"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row>
    <row r="185" spans="1:44" ht="12"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row>
    <row r="186" spans="1:44" ht="12"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row>
    <row r="187" spans="1:44" ht="12"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row>
    <row r="188" spans="1:44" ht="12"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row>
    <row r="189" spans="1:44" ht="12"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row>
    <row r="190" spans="1:44" ht="12"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row>
    <row r="191" spans="1:44" ht="12"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row>
    <row r="192" spans="1:44" ht="12"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row>
    <row r="193" spans="1:44" ht="12"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row>
    <row r="194" spans="1:44" ht="12"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row>
    <row r="195" spans="1:44" ht="12"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row>
    <row r="196" spans="1:44" ht="12"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row>
    <row r="197" spans="1:44" ht="12"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row>
    <row r="198" spans="1:44" ht="12"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row>
    <row r="199" spans="1:44" ht="12"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row>
    <row r="200" spans="1:44" ht="12"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row>
    <row r="201" spans="1:44" ht="12"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row>
    <row r="202" spans="1:44" ht="12"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row>
    <row r="203" spans="1:44" ht="12"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row>
    <row r="204" spans="1:44" ht="12"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row>
    <row r="205" spans="1:44" ht="12"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row>
    <row r="206" spans="1:44" ht="12"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row>
    <row r="207" spans="1:44" ht="12"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row>
    <row r="208" spans="1:44" ht="12"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row>
    <row r="209" spans="1:44" ht="12"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row>
    <row r="210" spans="1:44" ht="12"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row>
    <row r="211" spans="1:44" ht="12"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row>
    <row r="212" spans="1:44" ht="12"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row>
    <row r="213" spans="1:44" ht="12"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row>
    <row r="214" spans="1:44" ht="12"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row>
    <row r="215" spans="1:44" ht="12"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row>
    <row r="216" spans="1:44" ht="12"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row>
    <row r="217" spans="1:44" ht="12"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row>
    <row r="218" spans="1:44" ht="12"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row>
    <row r="219" spans="1:44" ht="15.75" customHeight="1"/>
    <row r="220" spans="1:44" ht="15.75" customHeight="1"/>
    <row r="221" spans="1:44" ht="15.75" customHeight="1"/>
    <row r="222" spans="1:44" ht="15.75" customHeight="1"/>
    <row r="223" spans="1:44" ht="15.75" customHeight="1"/>
    <row r="224" spans="1:4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
    <mergeCell ref="A7:C7"/>
    <mergeCell ref="A1:X1"/>
    <mergeCell ref="A3:C3"/>
    <mergeCell ref="A4:C4"/>
    <mergeCell ref="A5:C5"/>
    <mergeCell ref="A6:C6"/>
  </mergeCells>
  <printOptions horizontalCentered="1"/>
  <pageMargins left="0.43307086614173229" right="0.43307086614173229" top="0.35433070866141736" bottom="0.43307086614173229" header="0" footer="0"/>
  <pageSetup paperSize="9" orientation="landscape"/>
  <headerFooter>
    <oddHeader>&amp;L&amp;F&amp;R&amp;D</oddHeader>
    <oddFooter>&amp;L© AIRBUS S.A.S. ALL RIGHTS RESERVED. CONFIDENTIAL AND PROPRIETARY DOCUMENT._x000D_&amp;1#&amp;"Aptos"&amp;10&amp;K000000 Sensitivity: C1-Internal&amp;CControl Plan Template - Ref. FM1101636 - Issue 2&amp;RPage III.&amp;P</oddFooter>
  </headerFooter>
  <drawing r:id="rId1"/>
</worksheet>
</file>

<file path=docMetadata/LabelInfo.xml><?xml version="1.0" encoding="utf-8"?>
<clbl:labelList xmlns:clbl="http://schemas.microsoft.com/office/2020/mipLabelMetadata">
  <clbl:label id="{4f9646e7-a2b7-4055-b37c-fae88eceb046}" enabled="1" method="Privileged" siteId="{9bc3d1cd-55ca-4e13-b5a2-a9e9deaeba3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CP Front Page</vt:lpstr>
      <vt:lpstr>ME Inputs</vt:lpstr>
      <vt:lpstr>CP Grid (Tool)</vt:lpstr>
      <vt:lpstr>CP History</vt:lpstr>
      <vt:lpstr>'CP Front Page'!Control_Plan_Number</vt:lpstr>
      <vt:lpstr>'CP Front Page'!Issue</vt:lpstr>
      <vt:lpstr>'CP Front Page'!Point_of_Embodiment</vt:lpstr>
      <vt:lpstr>'CP Front Page'!Product_Designation</vt:lpstr>
      <vt:lpstr>'CP Front Page'!Product_Number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Bharath BATHINA</cp:lastModifiedBy>
  <dcterms:modified xsi:type="dcterms:W3CDTF">2026-09-04T04:34:35Z</dcterms:modified>
</cp:coreProperties>
</file>